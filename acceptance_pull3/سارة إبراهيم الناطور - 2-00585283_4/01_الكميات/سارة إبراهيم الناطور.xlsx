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jpeg" ContentType="image/jpeg"/>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istrator\Downloads\Telegram Desktop\"/>
    </mc:Choice>
  </mc:AlternateContent>
  <xr:revisionPtr revIDLastSave="0" documentId="8_{D1D05A93-97F1-4870-8B62-32BC4B7ADE83}" xr6:coauthVersionLast="47" xr6:coauthVersionMax="47" xr10:uidLastSave="{00000000-0000-0000-0000-000000000000}"/>
  <bookViews>
    <workbookView xWindow="768" yWindow="768" windowWidth="17280" windowHeight="8964" xr2:uid="{00000000-000D-0000-FFFF-FFFF00000000}"/>
  </bookViews>
  <sheets>
    <sheet name="الكميات  " sheetId="12" r:id="rId1"/>
    <sheet name="المخطط" sheetId="8" r:id="rId2"/>
    <sheet name="الوثائق" sheetId="3" r:id="rId3"/>
    <sheet name="صور قبل الترميم" sheetId="4" r:id="rId4"/>
    <sheet name="صور بعد الترميم" sheetId="5" r:id="rId5"/>
    <sheet name="نسبة الإنجاز" sheetId="10" r:id="rId6"/>
  </sheets>
  <definedNames>
    <definedName name="_xlnm.Print_Area" localSheetId="0">'الكميات  '!$A$2:$J$45</definedName>
    <definedName name="_xlnm.Print_Titles" localSheetId="0">'الكميات  '!$2:$6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2" l="1"/>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E44" i="12" l="1"/>
  <c r="E45" i="12" s="1"/>
  <c r="I45" i="12" l="1"/>
  <c r="B5" i="10" l="1"/>
</calcChain>
</file>

<file path=xl/sharedStrings.xml><?xml version="1.0" encoding="utf-8"?>
<sst xmlns="http://schemas.openxmlformats.org/spreadsheetml/2006/main" count="188" uniqueCount="158">
  <si>
    <t xml:space="preserve">The below table must be filled by a qualified engineer </t>
  </si>
  <si>
    <t xml:space="preserve">Type of damage  </t>
  </si>
  <si>
    <t xml:space="preserve">Unit  </t>
  </si>
  <si>
    <t xml:space="preserve">Quantity </t>
  </si>
  <si>
    <t xml:space="preserve">Estimated cost/$ </t>
  </si>
  <si>
    <t xml:space="preserve"> نوع الضرر</t>
  </si>
  <si>
    <t xml:space="preserve"> واحدة </t>
  </si>
  <si>
    <t xml:space="preserve"> الكمية</t>
  </si>
  <si>
    <t xml:space="preserve"> التكلفة التقديرية/ $</t>
  </si>
  <si>
    <t xml:space="preserve">M² </t>
  </si>
  <si>
    <t xml:space="preserve">MR </t>
  </si>
  <si>
    <t>طينة غراوت</t>
  </si>
  <si>
    <t xml:space="preserve">No </t>
  </si>
  <si>
    <t xml:space="preserve"> صيانة أبواب </t>
  </si>
  <si>
    <t xml:space="preserve"> صيانة نوافذ </t>
  </si>
  <si>
    <t xml:space="preserve"> صيانة </t>
  </si>
  <si>
    <t xml:space="preserve">أعمال الصحية  </t>
  </si>
  <si>
    <t>المجموع النهائي</t>
  </si>
  <si>
    <t>م</t>
  </si>
  <si>
    <t>بيتون مسلح</t>
  </si>
  <si>
    <t>بلوك</t>
  </si>
  <si>
    <t>مداخن</t>
  </si>
  <si>
    <t>بلاط</t>
  </si>
  <si>
    <t>سيراميك</t>
  </si>
  <si>
    <t>عزل جزئي</t>
  </si>
  <si>
    <t>ملابن</t>
  </si>
  <si>
    <t xml:space="preserve"> الأرضية والجدران</t>
  </si>
  <si>
    <t>أعمال النجارة</t>
  </si>
  <si>
    <t>مرحاض عربي</t>
  </si>
  <si>
    <t>مرحاض فرنجي</t>
  </si>
  <si>
    <t xml:space="preserve">        Bill of Quantités  فاتورة الكميات</t>
  </si>
  <si>
    <t xml:space="preserve">  طينة اسمنتية  </t>
  </si>
  <si>
    <t>مغسلة</t>
  </si>
  <si>
    <t>سواد مالحة</t>
  </si>
  <si>
    <t>سواد حلوة</t>
  </si>
  <si>
    <t>أعمال الكهرباء</t>
  </si>
  <si>
    <t>سواد كهرباء</t>
  </si>
  <si>
    <t>بياض كهرباء</t>
  </si>
  <si>
    <t>نعلة بلاط</t>
  </si>
  <si>
    <t>جلي بلاط</t>
  </si>
  <si>
    <t xml:space="preserve"> الزجاج </t>
  </si>
  <si>
    <t>الزجاج</t>
  </si>
  <si>
    <t>M3</t>
  </si>
  <si>
    <t>تدعيم معدني</t>
  </si>
  <si>
    <t>kg</t>
  </si>
  <si>
    <t xml:space="preserve">العزل </t>
  </si>
  <si>
    <t>مجلى رخام</t>
  </si>
  <si>
    <t>point</t>
  </si>
  <si>
    <t>الوصف</t>
  </si>
  <si>
    <t>تقديم وتنفيذ بيتون مسلح ، عيار خلطة البيتون 350 كغ/م3، مسلح بنسبة 80 كغ/م3،
في بعض الحالات يجب استخدام الايبوكسي لتثبيت قضبان التسليح عند الحاجة 
مع كل اعمال التحضير اللازمة، بما يتضمن الكوفراج ،السقايل، المواد، الاّليات والعمال
* يجب سقاية البيتون بالماء لمدة7 ايام</t>
  </si>
  <si>
    <t>باب معدني حديد</t>
  </si>
  <si>
    <t>أعمال الحديد</t>
  </si>
  <si>
    <t>Description</t>
  </si>
  <si>
    <t>تقديم وتنفيذ مقاطع معدنية مقترحة من قبل المهندس المشرف حسب الضرر الإنشائي لكل حالة ,  مع مراعاة تنظيف مقاطع الحديد من الصدأ والشوائب , ودهان إيبوكسي , مع تنفيذ اللحام بسماكة 6 مم لتحقيق مواصفة اللحام المطلوبة ,واستخدام براغي 16 مم وصفائح معدنية حسب اللزوم وتوجيهات المهندس المشرف . مع الشبك المعدني اللازم لاتمام أعمال الطينة</t>
  </si>
  <si>
    <t>جلي بلاط بشكل جيد .</t>
  </si>
  <si>
    <t xml:space="preserve"> أبواب خشبية </t>
  </si>
  <si>
    <t>استبدال القطع التالفة ( درفة أو ملبن)
استبدال الفيبر اللازم بالسماكة و اللون حسب الموجود مع الجوانات
استبدال الاكسسوارات التالفة (مسكة , مفصلات ......)</t>
  </si>
  <si>
    <t>نعلة بلاط أو سيراميك بارتفاع 10سم مع روبة جيدة</t>
  </si>
  <si>
    <t>تقديم أنبوب مداخن الأسمنت بقطر 4 انش مع إضافة حلقة معدنية جديدة وصندوق فحص وشبكة سلكية وطينة و صيانة المدخنة على السطح مع تركيب أنبوب شكل T إذا لزم الأمر .</t>
  </si>
  <si>
    <t>تصنيع وتركيب أبواب معدنية مفردة أو مزدوجة في موضعها بإطار مناسب ، وصفائح معدنية بسمك2 مم ،  وكافة الإكسوارات اللازمة مع الدهان .</t>
  </si>
  <si>
    <r>
      <t xml:space="preserve"> ملئ الفجوات والفراغات والثقوب الموجودة في السطح بمونة اسمنتية مناسبة حسب ما يراه جهاز الإشراف .
-	طلاء السطح وجهين من</t>
    </r>
    <r>
      <rPr>
        <b/>
        <sz val="10"/>
        <rFont val="Times New Roman"/>
        <family val="1"/>
      </rPr>
      <t xml:space="preserve"> العزل ذو الأساس الإسمنتي حسب توجيهات المهندس المشرف </t>
    </r>
  </si>
  <si>
    <t xml:space="preserve">بياض صحية </t>
  </si>
  <si>
    <t xml:space="preserve">لوحة قواطع </t>
  </si>
  <si>
    <t>JOP</t>
  </si>
  <si>
    <t>تقديم وتركيب (لوحة توزيع، تتسع ل 5 قواطع كهربائية , قاطع كهربائي ثنائي أو أحادي قياسات مناسبة ) مع كل الاعمال والمواد اللازمة.</t>
  </si>
  <si>
    <t>خزان ماء</t>
  </si>
  <si>
    <t>تقديم وتركيب بياض صحية (خلاطات , حنفيات , غطاء مصرف ستانلس ستيل , انبوب صرف مرن مع صباب ,وسكر , خرطوم مرحاض) مع أنابيب الوصل المرنة , مع كل مايلزم من إكسسورات حديدية  مثل: تيهات, اكواع, نقاصات, تحويلات, سدات وأية إكسسوارات لازمة لوصل الخلاط بالشبكة وتثبيته في المكان) مع كل ما يلزم من أعمال .</t>
  </si>
  <si>
    <t>تقديم وتركيب نقطة كهربائية تتضمن ( تيب قياسات مناسبة ,علب ماجيك ,أسلاك بمختلف الأقطار ) مع كافة أعمال الحفر  والتثبيت .
- يجب ان يركب التيب  داخل الجدران اوالأسقف أو الأرضيات بشكل مخفي حيث يتم تغطيته بالاسمنت بشكل كامل مع وضع شبك معدني لمنع التشقق . مع كل مايلزم من اعمال، مواد واكسسوارات.</t>
  </si>
  <si>
    <t>تقديم وتركيب كبل كهرباء، الناقل مصنوع من النحاس المجدول مع عزل مضاعف من ال بي في سي، مساحة المقطع 2* 6مم2، 
- بداخل التيب الموجودة او السكك البلاستيكية المناسبة .
-التركيب يكون فقط من عداد الكهرباء الى لوحة التوزيع داخل الشقة.</t>
  </si>
  <si>
    <t>تقديم وتركيب وتمديد- نقطة ضوئية كاملة ( انيون ليد 120 سم (24 واط), 220V )مع شريط مفرد 1.5ملم ومفتاح كهربائي مع الشاسيه والغطاء مع كل ما يلزم حتى إتمام التشغيل .
-مأخذ كهرباء (بريز)، 2P, 16A, 250V مع قفل امان،.مع الشاسية والغطاء(البلاك)
- غطاء بلاستيكي للعلب الكهربائية الموجودة, أبعادها (20*15) 
- سكك بلاستيكية مع غطاء قياس 2.5*2.5 سم مع التركيب باستخدام البراغي (لاتزيد مسافة التثبيت عن 50 سم) على الجدران والاسقف.
- مع كل مايلزم من اعمال ومواد.</t>
  </si>
  <si>
    <t xml:space="preserve">كبل تغذيةكهربائي </t>
  </si>
  <si>
    <t>سخان كهربائي</t>
  </si>
  <si>
    <t>مضخة مياه</t>
  </si>
  <si>
    <t>توريد وتركيب مضخة مياه باردة بالطرد المركزي لرفع المياه من الإمداد الرئيسي إلى خزان  المياه 0.75  حصان ، ملف نحاس ,بما في ذلك صمامات البوابة ، وصمامات الفحص ، والمصفاة ، وجميع التركيبات الكهربائية ، والنقاط ، والكابلات ، ولوحة التحكم , وصندوق حماية حديدي .</t>
  </si>
  <si>
    <t>شفاط كهربائي</t>
  </si>
  <si>
    <t>تزويد وتركيب مروحة طرد 6" مع الاسلاك والقاطع و الكبسة وكل مايلزم  ووصله للخارج  .</t>
  </si>
  <si>
    <t xml:space="preserve"> أبواب ألمنيوم</t>
  </si>
  <si>
    <t xml:space="preserve"> نوافذ ألمنيوم</t>
  </si>
  <si>
    <r>
      <t>تقديم وتركيب حوض مجلى ستانلس ستيل بقياس مناسب ,مع التصاق جيد بالرخام .لزوايا اتقديم وتركيب رخام من نوع جيد بعرض 60 سم مع  رخام واقف وحبسة ماء من الرخام ,</t>
    </r>
    <r>
      <rPr>
        <b/>
        <sz val="10"/>
        <rFont val="Times New Roman"/>
        <family val="1"/>
      </rPr>
      <t>مع الخلاط و أنبوب صرف مرن أنش ونصف ) مثبت في مكان التركيب وموصول مع الشبكة مع كل مايلزم من اعمال، سيليكون  مضاد للبكتيريا لملئ الفراغات، مواد واكسسوارات.</t>
    </r>
  </si>
  <si>
    <t>أعمال الألمنيوم</t>
  </si>
  <si>
    <t>ملحق رقم  "1 "</t>
  </si>
  <si>
    <t>الدفعة الأولى</t>
  </si>
  <si>
    <t>الدفعة الثانية</t>
  </si>
  <si>
    <t>التقرير النهائي للاجىء</t>
  </si>
  <si>
    <t>الإسم</t>
  </si>
  <si>
    <t>ملاحظات</t>
  </si>
  <si>
    <t>الإنجاز</t>
  </si>
  <si>
    <t>النسبة %</t>
  </si>
  <si>
    <t>التقرير</t>
  </si>
  <si>
    <t>تقديم و تركيب جدار من البلوك, سماكات مختلفة, صنع محلي,باستخدام مونة اسمنتية ( عيار 300 كغ/م³).
*مع  كافة الأعمال التحضيرية من إزالة الجدران المتصدعة , مع إزالة نواتج الهدم وكافة العناصر غير المستقرة  وترحيلها إلى مكب رسمي.ويجب توريد البلوك  بعد 14 يوم من صبه, ويجب أن تكون القطع سليمة و ترفض القطع المكسورة والعمل يتم مع كل مايلزم من مواد و يد عاملة.,يجب سقاية البلوك بالماء لمدة 3 ايام</t>
  </si>
  <si>
    <t xml:space="preserve"> طينة غراوت المناسبة لمعالجة التشققات في الجدران و الأعمدة  والجسور و الأسقف تستخدم  بعد تنطيف السطح بشكل كامل .</t>
  </si>
  <si>
    <t>تقديم وتركيب زجاج مناسب، سماكة 6مم، صناعة محلية، ويجب ان تتناسب قطع الزجاج مع اماكن التركيب في النوافذ والابواب والواجهات، المصنوعة من الخشب، الحديد، الالمنيوم بحسب قياس مكان التركيب مع كل مايلزم من مواد واكسسوارات وسيليكون ملئ الفراغات.</t>
  </si>
  <si>
    <r>
      <t xml:space="preserve">تقديم وتنفيذ طينة اسمنتية للجدران والاسقف، التسوية باستعمال قدة المنيوم وخشب، تتالف من ثلاث طبقات:
-بطانة اولية خشنة (رشة مسمارية كثيفة) لتغطية جميع الاسطح .
-بطانة طبقة ثانية خشنة لملئ جميع التشققات والفتحات باستعمال المالج وقدة الالمنيوم للتسوية، .
-ظهارة طبقة ثالثة وجه نهائي (ناعم) اسمنت </t>
    </r>
    <r>
      <rPr>
        <b/>
        <sz val="10"/>
        <rFont val="Times New Roman"/>
        <family val="1"/>
      </rPr>
      <t>أبيض أو أسود باستخدام المفرك لتنعيم الاسطح، .
مع كل الاعمال التحضيرية اللازمة للأسطح التي سوف يتم تطيينها عن طريق إزالة أي جزء متضرر أو متهدم من المناطق غير الملائمة في أي مكان وعلى أي عمق لتصبح جاهزة لإستقبال طبقات الطينة الجديدة والتخلص من هذه الأنقاض إلى المطامر الرسمية وفق ملاحظات وتوجيهات المهندس المشرف</t>
    </r>
  </si>
  <si>
    <t>استبدال القطع الخشبية التالفة (ضمن الدرفة الخشبية أو الملبن ) ,واستبدال المفصلات والمسكات والغال التالفين حسب توجيهات المهندس المشرف</t>
  </si>
  <si>
    <t>استبدال القطع الخشبية التالفة (ضمن الدرفة الخشبية أو الملبن ) ,واستبدال المفصلات والمسكات  التالفين  حسب توجيهات المهندس المشرف</t>
  </si>
  <si>
    <t xml:space="preserve">تقديم وتركيب مغسلة بورسلان 50*60سم  لماع بدون تموجات مع الخلاط والمراة والرف  والعمود مع هراب اركوديون بلاستيكي مع جوان حشر مع التوصيل لخط الصرف الصحي مع كل مايلزم  </t>
  </si>
  <si>
    <t>تقديم وتركيب بطة تواليت من البورسلين, صناعة محلية,  مع ملئ أسفل و محيط البطة بمونة اسمنتية وتعبئة كافة الفراغات التي تظهر بالمونة الإسمنتية.
* مع كافة الأعمال المطلوبة من حفر, تعبئة فراغات, خليط اسمنتي, مواد وإكسسوارات.</t>
  </si>
  <si>
    <t>تقديم و تركيب أنابيب من البلاستيك PVC بأقطار مختلفة  مناسبة, محلي الصنع, 
مع كافة الاكسسوارات المطلوبة مثل : اكسسوارات الوصل , أكواع , كوانة , T, و النقاصات ....).
يجب تثبيت الانابيب الظاهرة بواسطة حبسات معدنية 
*مع كافة الأعمال المطلوبة من حفر و أعمال بيتونية و تسوية, و كافة المواد و الاكسسوارات.</t>
  </si>
  <si>
    <t>تقديم وتركيب أنابيب بولي اتيلين PPR  بأقطار مختلفة  مناسبة, سماكة جدران 4.2 مم, محلي الصنع, مع كافة الإكسسوارات اللازمة ( تيه, نقاصات وصلات ...).
يجب تثبيت الانابيب الظاهرة بواسطة حبسات معدنية 
* مع كافة الأعمال المطلوبة, المونة الإسمنتية, مواد وإكسسوارات).</t>
  </si>
  <si>
    <t>الملابن خالي من العقد النافذة , و تركيب ثلاث شرمات من كل جهة للملبن.</t>
  </si>
  <si>
    <t>تقديم وتركيب باب خشبي رئيسي وداخلي حسب ما يلي:
1- الملابن والإطار والعوارض و تركيب ثلاث شرمات من كل جهة للملبن.
2- تركيب اطار زان لكامل الباب بسماكة لا تقل عن 2 سم .
مع كافة المواد والاكسسوارات اللازمة لإنهاء العمل من (طوبة -مفصلات -مسكة -قفل اماني داخلي-غال) و حف وطلاء الخشب بالزيت والدهان .</t>
  </si>
  <si>
    <t>تقديم وتركيب باب ألمنيوم مطلي بالأنودة مع حشوة فايبر صناعة محلية سماكة الفيبر 2 مم , مع كامل الاكسسوارات من قفل وغال ودقر ومسكات نخب أول.
يجب ملئ كامل الفراغات بين الإطار والحواف بواسطة السليكون.مع تركيب ملبن رخام في حال عدم وجوده
يجب أن يتم معايرة الباب بشكل جيد وأن يغلق بشكل كامل مع كل المواد اللازمة .</t>
  </si>
  <si>
    <r>
      <t xml:space="preserve">تقديم وتركيب نافذة ألمنيوم مطلي بالأنودة سحاب صناعة محلية , مع سكة عريضة
الزجاج مناسب بسماكة لا تقل عن </t>
    </r>
    <r>
      <rPr>
        <b/>
        <sz val="10"/>
        <rFont val="Times New Roman"/>
        <family val="1"/>
      </rPr>
      <t>6 ملم ويجب تثبيته بواسطة الجوانات والسيليكون.
مع كافة الاكسسوارات من قفل  ومسكات و الحركات، الجوانات،دواليب، الفراشي وكل ما يلزم.
يجب أن يزود الشباك بمنخل سحاب مع إطار الألمنيوم.و تركيب نوافذ الحمامات و دورات المياه (طاقات) ذرفة متحركة او ثابتة حسب رأي المهندس المشرف 
يجب ملئ كامل الفراغات بين الإطار والحواف بواسطة السليكون.
مع تركيب ملبن رخام في حال عدم وجوده
يجب أن يتم معايرة الشباك بشكل جيد وأن يغلق بشكل كامل مع كل المواد اللازمة .</t>
    </r>
  </si>
  <si>
    <t xml:space="preserve">تقديم وتركيب مرحاض غربي (كرسي تواليت), بورسلين, صناعة محلية, مع كافة إجراءات التثبيت اللازمة التي يجب ان تتم مثل حفر الأرضيات القديمة, وإزالة الأنقاض بطريقة مناسبة , مع ملئ أية فراغات متبقية بعد التركيب بالمونة الإسمنتية ,كرسي التواليت يجب أن يتضمن كافة الإكسسوارات اللازمة مثل: فواشة مياه . حنفية تزويد المياه (مدمجة) لخزان التواليت ولخرطوم التواليت( نصف انش), مصنوع من النحاس ومطلي بمادة الكروم) مع أنبوب الوصل المرن من اجل خزان الكرسي , أيضا مع خرطوم تواليت (خرطوم   , إكسسورات التثبيت  الجدارية )غطاء بلاستيك للكرسي.
*متصل بالشبكة مع كل ما يلزم من أعمال, حفر، ردم، مونة اسمنتية مواد وإكسسورات التركيب </t>
  </si>
  <si>
    <r>
      <t xml:space="preserve">تقديم و تركيب خزان مياه من البلاستيك PVC من 3 طبقات سعة 1000 ليتر , محلي الصنع, </t>
    </r>
    <r>
      <rPr>
        <b/>
        <sz val="10"/>
        <rFont val="Times New Roman"/>
        <family val="1"/>
      </rPr>
      <t xml:space="preserve">
ايجب أن يكون شكل الخزان مناسب للوضع على السطح) مع كافة الاكسسوارات اللازمة,  مثل الفواشة و اكسسوارات التوصيل.وسكر عدد 2 
-يجب توصيل الخزان الى شبكة المياه مع كافة أنابيب الPPR مع كافة الأعمال و المواد و الاكسسوارات المطلوبة مع وضعه على طبقة اسمنتية صقيلة بسماكة لا تقل عن 5 سم وفي مكان آمن حسب توجيهات المهندس المشرف .</t>
    </r>
  </si>
  <si>
    <t>أعمال الدهان</t>
  </si>
  <si>
    <t>room</t>
  </si>
  <si>
    <r>
      <t>تقديم وتركيب سخان مياه كهربائي  100 ليتر معزول بطبقة من البولي يوريثان او الصوف الصخري , مزود  بقضيب التسخين والتيرموستات القابل للتعديل لاتقل استطاعتها عن 1500 واط, وايضا مزود بمقياس لحرارة المياه ومصباح اشارة , و قاطع كهربائي خارجي 20 امبير, الخزان الإسطواني يجب أن يكون صنع محلي, مع سكر عدم رجوع/صمام/</t>
    </r>
    <r>
      <rPr>
        <b/>
        <sz val="10"/>
        <rFont val="Arial"/>
        <family val="2"/>
        <scheme val="minor"/>
      </rPr>
      <t xml:space="preserve"> </t>
    </r>
    <r>
      <rPr>
        <b/>
        <sz val="10"/>
        <rFont val="Times New Roman"/>
        <family val="1"/>
      </rPr>
      <t>يركب على مدخل المياه الباردة
*مع كل مايلزم من سكر حماية واكسسوارات حديد (نقاصات، محولات، اكواع، تيهات، سدات...</t>
    </r>
  </si>
  <si>
    <t xml:space="preserve">دهان </t>
  </si>
  <si>
    <t>دهان المناطق المتضررة بالحريق ويتضمن طلاء بثلاث طبقات ، مع الفرك  بما في ذلك شقوق الإصلاح والجبس  ، تنظيف الموقع عن طريق إزالة البقع الجديدة أو القديمة على الأرضيات والزجاج والتنانير والتركيبات الكهربائية والأبواب والنوافذ ، السقف أو الجدران.</t>
  </si>
  <si>
    <t xml:space="preserve">ملاحظة :بالنسبة لجميع المواد يتم استخدام المواد الأساسية ذات الجودة القياسية المتاحة في السوق المحلية </t>
  </si>
  <si>
    <t xml:space="preserve"> توريد وتركيب بلاط مصقول أبيض مزج، محلي الصنع، أبعادمناسبة , بما في ذلك جميع المواد اللازمة والملحقات لاستكمال العمل. و في حال كان البلاط غير مجلي يتم جليه و تلميعه بعد التركيب. , ويشمل
1- ازالة البلاط القديم.
2 - التخلص من الحطام إلى مكان تفريغ معتمد حسب تعليمات المهندس المشرف.
3- فرش طبقة من البحص في الأماكن التي تتطلب ذلك
*مع كافة الاعمال و المواد و الحفر و ترحيل الركام و الاكسسوارات اللازمة.</t>
  </si>
  <si>
    <t>توريد وتركيب سيراميك جدران و أرضيات جديد  ، متضمناً جميع المواد اللازمة لإكمال العمل بما في ذلك المونة الاسمنتية (عيار 300 كغ/م³) للبلاط الجديد.
- إزالة السيراميك التالف من الأماكن المحددة  وترحيل الحطام إلى مكب نظامي.
-التباعد بين القطع 2مم باستخدام فواصل بلاستيكية
*مع كافة الاعمال و المواد و الحفر و ترحيل الركام و الاكسسوارات اللازمة, وزوايا المنيوم لجميع الزوايا والحواف</t>
  </si>
  <si>
    <t>صيانة حديد</t>
  </si>
  <si>
    <t>تدعيم العناصر الانشائية للحفاظ على سلامة السكان</t>
  </si>
  <si>
    <t>تدعيم العناصر الانشائية  للحفاظ على سلامة السكان</t>
  </si>
  <si>
    <t>للضرورات المعمارية و إغلاق فتحات الجدران بسبب الحرب و للحفاظ على خصوصية المنزل</t>
  </si>
  <si>
    <t>لمعالجة التشققات و الجدران المتصدعة و ملابن الأبواب و ضمان السلامة الصحية للسكان كون البلوك مرتع للحشرات و البكتريا</t>
  </si>
  <si>
    <t>لعلاج تسلخات الحديد في العناصر الإنشائية و ضمان عدم سقوط الطينة المتصدعة على رؤوس السكان</t>
  </si>
  <si>
    <t>كون مدافئ المازوت هي الوسيلة المتاحة للتدفئة بسبب عدم توفر الكهربا</t>
  </si>
  <si>
    <t>استبدال البلاط المحروق بسبب هشاشته و نفوذيته العالية للماء.</t>
  </si>
  <si>
    <t>لمنع تسرب الماء من مكان التقاء البلاط مع الجدران</t>
  </si>
  <si>
    <t>امن أجل إزالة الطبقة التي تعد مرتع للحشرات و البكتريا</t>
  </si>
  <si>
    <t>ضمان السلامة الصحية للسكان و معالجة  رطوبة الجدران التي تؤثر على الجهاز التنفسي</t>
  </si>
  <si>
    <t>استبدال الزجاج المكسور و هو مصدر أذى للسكان</t>
  </si>
  <si>
    <t>استبدال الأبواب ذات الحالة السيئة و الحفاظ على الخصوصية داخل المنزل و تأمين الحماية</t>
  </si>
  <si>
    <t>ضرورية لتركيب الأبواب</t>
  </si>
  <si>
    <t>إعادة وظيفة الباب كاملة</t>
  </si>
  <si>
    <t>إعادة وظيفة النافذة كاملة</t>
  </si>
  <si>
    <t>الحفاظ على خصوصية الحمامات و المطبخ ولأن الألمنيوم مقاوم للماء و الرطوبة</t>
  </si>
  <si>
    <t>تحقيق الحماية الصحية و الخصوصية للمنزل</t>
  </si>
  <si>
    <t>إعادة وظيفة العنصر كاملة</t>
  </si>
  <si>
    <t>حماية مدخل المنزل الخارجي و النوافذ في المنازل الأرضية من السرقة</t>
  </si>
  <si>
    <t>لحماية بيتون بلاطة السقف من التشققات وانهيار طبقات الطينة الاسمنتية الثلاث علة رؤوس السكان</t>
  </si>
  <si>
    <t>اصلاح المجلى المكسور و استبدال مجلى الرخام ب مجلى استانلس صحي كون مجلى الرخام مرتع للحشرات و البكتريا</t>
  </si>
  <si>
    <t>لضرورة اسخدام المغسلة</t>
  </si>
  <si>
    <t>لضرورة استخدام المرحاض العربي</t>
  </si>
  <si>
    <t>لضرورة استخدام المرحاض الفرنجي بالأخص بالمنازل التي تأوي عجزة أو كبار بالسن</t>
  </si>
  <si>
    <t>معالجة و اصلاح أو استبدال قساطل الصرف الصحي القديمة و المتهالكة لتأثيرها السلبي على البيئة الصحة العامة و لإضرارها بالعناصر الإنشائية</t>
  </si>
  <si>
    <t>اصلاح أو استبدال الأنابيب القديمة و المتهالكة و الصدئة لضررها على صحة السكان بسبب الرطوبة و لاضرارها بالعناصر الإنشائية للبناء</t>
  </si>
  <si>
    <t>استبدال البياضات القديمة و المتهالكة للحد من هدر المياه</t>
  </si>
  <si>
    <t>لحاجة مضخة المياه في حال كانت المياه لا تصعد إلى الخزانات و ذلك من أجل توفير المياه اللازمة للاستهلاك اليومي للسكان</t>
  </si>
  <si>
    <t>استبدال الخزانات المعدنية المهترئة بالصدأ كون الصدأ مكان لتجمع البكتريا و الجراثيم</t>
  </si>
  <si>
    <t>استبدال الشبكات و الأسلاك الداخلية المتهالكة لحماية المنازل من الحرائق بسبب الماس الكهربائي</t>
  </si>
  <si>
    <t>إيصال الكهرباء من الشبكة إلى المنزل</t>
  </si>
  <si>
    <t>لحماية المنزل من الحرائق و الأضرار التي يمكن أن يتسبب بها الماس الكهربائي</t>
  </si>
  <si>
    <t>لتتمة أعمال سواد الكهرباء السابقة وانارة المنزل</t>
  </si>
  <si>
    <t>لتأمين المياه الساخنة الضرورية للنظافة الشخصية</t>
  </si>
  <si>
    <t>لطرد الروائح الكريهة من المطبخ و الحمام</t>
  </si>
  <si>
    <t>Reason for intervention</t>
  </si>
  <si>
    <t>سبب التدخل</t>
  </si>
  <si>
    <t>استبدال القطع التالفة ( درفة أو ملبن)
استبدال الزجاج اللازم بالسماكة و اللون حسب الموجود مع الجوانات
استبدال الاكسسوارات التالفة (مسكة , مفصلات ......)</t>
  </si>
  <si>
    <t xml:space="preserve">لإزالة آثار الحريق  بما فيها من تشققات واهتراء وروائح ودخان  </t>
  </si>
  <si>
    <t>إضافة أعمال دهان وبعض أعمال السيراميك</t>
  </si>
  <si>
    <t>أعمال   هيكلية</t>
  </si>
  <si>
    <t xml:space="preserve">السعر </t>
  </si>
  <si>
    <t>اسم المستفيد</t>
  </si>
  <si>
    <t>the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</si>
</sst>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amily val="2"/>
      <scheme val="minor"/>
    </font>
    <font>
      <sz val="11"/>
      <color theme="1"/>
      <name val="Arial"/>
      <family val="2"/>
      <scheme val="minor"/>
    </font>
    <font>
      <b/>
      <sz val="12"/>
      <color theme="1"/>
      <name val="Arial"/>
      <family val="2"/>
      <scheme val="minor"/>
    </font>
    <font>
      <sz val="14"/>
      <color theme="1"/>
      <name val="Arial"/>
      <family val="2"/>
      <scheme val="minor"/>
    </font>
    <font>
      <sz val="10"/>
      <name val="Century Gothic"/>
      <family val="2"/>
    </font>
    <font>
      <b/>
      <sz val="12"/>
      <color rgb="FF000000"/>
      <name val="Arial"/>
      <family val="2"/>
      <scheme val="minor"/>
    </font>
    <font>
      <b/>
      <sz val="12"/>
      <name val="Arial"/>
      <family val="2"/>
      <scheme val="minor"/>
    </font>
    <font>
      <b/>
      <sz val="10"/>
      <color rgb="FF000000"/>
      <name val="Arial"/>
      <family val="2"/>
      <scheme val="minor"/>
    </font>
    <font>
      <b/>
      <sz val="10"/>
      <name val="Times New Roman"/>
      <family val="1"/>
    </font>
    <font>
      <b/>
      <sz val="10"/>
      <name val="Arial"/>
      <family val="2"/>
      <scheme val="minor"/>
    </font>
    <font>
      <b/>
      <sz val="14"/>
      <color rgb="FF000000"/>
      <name val="Arial"/>
      <family val="2"/>
      <scheme val="minor"/>
    </font>
    <font>
      <sz val="12"/>
      <color theme="1"/>
      <name val="Arial"/>
      <family val="2"/>
      <scheme val="minor"/>
    </font>
    <font>
      <b/>
      <sz val="16"/>
      <color rgb="FF000000"/>
      <name val="Arial"/>
      <family val="2"/>
      <scheme val="minor"/>
    </font>
    <font>
      <b/>
      <sz val="16"/>
      <name val="Led Italic Font"/>
      <charset val="178"/>
    </font>
    <font>
      <b/>
      <sz val="16"/>
      <color rgb="FF000000"/>
      <name val="Led Italic Font"/>
      <charset val="178"/>
    </font>
    <font>
      <b/>
      <sz val="14"/>
      <color rgb="FF000000"/>
      <name val="Led Italic Font"/>
      <charset val="178"/>
    </font>
    <font>
      <b/>
      <sz val="12"/>
      <color rgb="FF000000"/>
      <name val="Led Italic Font"/>
      <charset val="178"/>
    </font>
    <font>
      <b/>
      <sz val="14"/>
      <name val="Led Italic Font"/>
      <charset val="178"/>
    </font>
    <font>
      <b/>
      <sz val="18"/>
      <name val="Andalus"/>
      <family val="1"/>
    </font>
    <font>
      <b/>
      <sz val="16"/>
      <color indexed="10"/>
      <name val="Arial"/>
      <family val="2"/>
      <scheme val="minor"/>
    </font>
    <font>
      <b/>
      <i/>
      <sz val="14"/>
      <color rgb="FF000000"/>
      <name val="Arial"/>
      <family val="2"/>
      <scheme val="minor"/>
    </font>
    <font>
      <b/>
      <sz val="16"/>
      <color theme="1"/>
      <name val="Arial"/>
      <family val="2"/>
      <scheme val="minor"/>
    </font>
    <font>
      <b/>
      <i/>
      <sz val="16"/>
      <color rgb="FF000000"/>
      <name val="Arial"/>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79998168889431442"/>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double">
        <color indexed="64"/>
      </right>
      <top/>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style="medium">
        <color indexed="64"/>
      </top>
      <bottom style="medium">
        <color rgb="FF000000"/>
      </bottom>
      <diagonal/>
    </border>
    <border>
      <left style="double">
        <color indexed="64"/>
      </left>
      <right style="double">
        <color indexed="64"/>
      </right>
      <top style="medium">
        <color indexed="64"/>
      </top>
      <bottom/>
      <diagonal/>
    </border>
    <border>
      <left style="double">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right style="medium">
        <color rgb="FF000000"/>
      </right>
      <top style="medium">
        <color indexed="64"/>
      </top>
      <bottom style="double">
        <color indexed="64"/>
      </bottom>
      <diagonal/>
    </border>
    <border>
      <left style="medium">
        <color indexed="64"/>
      </left>
      <right style="medium">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diagonal/>
    </border>
    <border>
      <left style="medium">
        <color indexed="64"/>
      </left>
      <right style="medium">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medium">
        <color indexed="64"/>
      </right>
      <top/>
      <bottom/>
      <diagonal/>
    </border>
    <border>
      <left style="medium">
        <color indexed="64"/>
      </left>
      <right style="medium">
        <color indexed="64"/>
      </right>
      <top style="double">
        <color indexed="64"/>
      </top>
      <bottom style="medium">
        <color rgb="FF000000"/>
      </bottom>
      <diagonal/>
    </border>
    <border>
      <left style="slantDashDot">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slantDashDot">
        <color indexed="64"/>
      </right>
      <top style="slantDashDot">
        <color indexed="64"/>
      </top>
      <bottom/>
      <diagonal/>
    </border>
    <border>
      <left style="slantDashDot">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slantDashDot">
        <color indexed="64"/>
      </right>
      <top/>
      <bottom style="slantDashDot">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slantDashDot">
        <color indexed="64"/>
      </right>
      <top style="double">
        <color indexed="64"/>
      </top>
      <bottom/>
      <diagonal/>
    </border>
    <border>
      <left style="thin">
        <color indexed="64"/>
      </left>
      <right style="slantDashDot">
        <color indexed="64"/>
      </right>
      <top/>
      <bottom style="double">
        <color indexed="64"/>
      </bottom>
      <diagonal/>
    </border>
    <border>
      <left/>
      <right style="slantDashDot">
        <color indexed="64"/>
      </right>
      <top/>
      <bottom/>
      <diagonal/>
    </border>
    <border>
      <left/>
      <right style="thin">
        <color indexed="64"/>
      </right>
      <top style="double">
        <color indexed="64"/>
      </top>
      <bottom/>
      <diagonal/>
    </border>
    <border>
      <left/>
      <right style="thin">
        <color indexed="64"/>
      </right>
      <top/>
      <bottom style="double">
        <color indexed="64"/>
      </bottom>
      <diagonal/>
    </border>
    <border>
      <left style="double">
        <color indexed="64"/>
      </left>
      <right style="medium">
        <color indexed="64"/>
      </right>
      <top/>
      <bottom style="double">
        <color indexed="64"/>
      </bottom>
      <diagonal/>
    </border>
    <border>
      <left style="double">
        <color indexed="64"/>
      </left>
      <right style="medium">
        <color indexed="64"/>
      </right>
      <top style="medium">
        <color indexed="64"/>
      </top>
      <bottom/>
      <diagonal/>
    </border>
    <border>
      <left style="medium">
        <color rgb="FF000000"/>
      </left>
      <right style="medium">
        <color indexed="64"/>
      </right>
      <top style="medium">
        <color indexed="64"/>
      </top>
      <bottom style="double">
        <color indexed="64"/>
      </bottom>
      <diagonal/>
    </border>
    <border>
      <left/>
      <right/>
      <top style="double">
        <color indexed="64"/>
      </top>
      <bottom/>
      <diagonal/>
    </border>
    <border>
      <left style="double">
        <color indexed="64"/>
      </left>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medium">
        <color rgb="FF000000"/>
      </right>
      <top/>
      <bottom style="double">
        <color indexed="64"/>
      </bottom>
      <diagonal/>
    </border>
    <border>
      <left/>
      <right style="medium">
        <color indexed="64"/>
      </right>
      <top/>
      <bottom style="double">
        <color indexed="64"/>
      </bottom>
      <diagonal/>
    </border>
    <border>
      <left/>
      <right style="double">
        <color indexed="64"/>
      </right>
      <top/>
      <bottom style="double">
        <color indexed="64"/>
      </bottom>
      <diagonal/>
    </border>
    <border>
      <left style="hair">
        <color indexed="64"/>
      </left>
      <right/>
      <top style="double">
        <color indexed="64"/>
      </top>
      <bottom style="double">
        <color indexed="64"/>
      </bottom>
      <diagonal/>
    </border>
    <border>
      <left style="medium">
        <color indexed="64"/>
      </left>
      <right/>
      <top style="double">
        <color indexed="64"/>
      </top>
      <bottom style="dotted">
        <color indexed="64"/>
      </bottom>
      <diagonal/>
    </border>
    <border>
      <left style="medium">
        <color indexed="64"/>
      </left>
      <right style="medium">
        <color indexed="64"/>
      </right>
      <top style="double">
        <color indexed="64"/>
      </top>
      <bottom style="dotted">
        <color indexed="64"/>
      </bottom>
      <diagonal/>
    </border>
    <border>
      <left/>
      <right style="medium">
        <color indexed="64"/>
      </right>
      <top style="double">
        <color indexed="64"/>
      </top>
      <bottom style="dotted">
        <color indexed="64"/>
      </bottom>
      <diagonal/>
    </border>
    <border>
      <left/>
      <right style="double">
        <color indexed="64"/>
      </right>
      <top style="double">
        <color indexed="64"/>
      </top>
      <bottom style="dotted">
        <color indexed="64"/>
      </bottom>
      <diagonal/>
    </border>
    <border>
      <left style="double">
        <color indexed="64"/>
      </left>
      <right style="double">
        <color indexed="64"/>
      </right>
      <top style="double">
        <color indexed="64"/>
      </top>
      <bottom style="dotted">
        <color indexed="64"/>
      </bottom>
      <diagonal/>
    </border>
  </borders>
  <cellStyleXfs count="4">
    <xf numFmtId="0" fontId="0" fillId="0" borderId="0"/>
    <xf numFmtId="0" fontId="1" fillId="0" borderId="0"/>
    <xf numFmtId="0" fontId="4" fillId="0" borderId="0"/>
    <xf numFmtId="0" fontId="1" fillId="7" borderId="0" applyNumberFormat="0" applyBorder="0" applyAlignment="0" applyProtection="0"/>
  </cellStyleXfs>
  <cellXfs count="145">
    <xf numFmtId="0" fontId="0" fillId="0" borderId="0" xfId="0"/>
    <xf numFmtId="0" fontId="6" fillId="0" borderId="0" xfId="2" applyFont="1" applyAlignment="1">
      <alignment horizontal="center" vertical="center"/>
    </xf>
    <xf numFmtId="0" fontId="6" fillId="3" borderId="8" xfId="2" applyFont="1" applyFill="1" applyBorder="1" applyAlignment="1">
      <alignment horizontal="center" vertical="center"/>
    </xf>
    <xf numFmtId="0" fontId="6" fillId="0" borderId="4" xfId="2" applyFont="1" applyBorder="1" applyAlignment="1">
      <alignment horizontal="center" vertical="center"/>
    </xf>
    <xf numFmtId="0" fontId="7" fillId="3" borderId="14" xfId="1" applyFont="1" applyFill="1" applyBorder="1" applyAlignment="1">
      <alignment horizontal="right" vertical="center" wrapText="1"/>
    </xf>
    <xf numFmtId="0" fontId="6" fillId="0" borderId="0" xfId="2" applyFont="1" applyAlignment="1">
      <alignment horizontal="right" vertical="center"/>
    </xf>
    <xf numFmtId="0" fontId="7" fillId="0" borderId="0" xfId="1" applyFont="1" applyAlignment="1">
      <alignment vertical="center" wrapText="1"/>
    </xf>
    <xf numFmtId="0" fontId="7" fillId="3" borderId="15" xfId="1" applyFont="1" applyFill="1" applyBorder="1" applyAlignment="1">
      <alignment horizontal="right" vertical="center" wrapText="1"/>
    </xf>
    <xf numFmtId="0" fontId="6" fillId="2" borderId="8" xfId="2" applyFont="1" applyFill="1" applyBorder="1" applyAlignment="1">
      <alignment horizontal="center" vertical="center"/>
    </xf>
    <xf numFmtId="0" fontId="7" fillId="2" borderId="15" xfId="1" applyFont="1" applyFill="1" applyBorder="1" applyAlignment="1">
      <alignment horizontal="right" vertical="center" wrapText="1"/>
    </xf>
    <xf numFmtId="0" fontId="7" fillId="2" borderId="14" xfId="1" applyFont="1" applyFill="1" applyBorder="1" applyAlignment="1">
      <alignment horizontal="right" vertical="center" wrapText="1"/>
    </xf>
    <xf numFmtId="0" fontId="7" fillId="2" borderId="17" xfId="1" applyFont="1" applyFill="1" applyBorder="1" applyAlignment="1">
      <alignment horizontal="right" vertical="center" wrapText="1"/>
    </xf>
    <xf numFmtId="0" fontId="6" fillId="2" borderId="18" xfId="2" applyFont="1" applyFill="1" applyBorder="1" applyAlignment="1">
      <alignment horizontal="center" vertical="center"/>
    </xf>
    <xf numFmtId="0" fontId="6" fillId="3" borderId="22" xfId="2" applyFont="1" applyFill="1" applyBorder="1" applyAlignment="1">
      <alignment horizontal="center" vertical="center"/>
    </xf>
    <xf numFmtId="0" fontId="8" fillId="3" borderId="14" xfId="1" applyFont="1" applyFill="1" applyBorder="1" applyAlignment="1">
      <alignment horizontal="right" vertical="center" wrapText="1"/>
    </xf>
    <xf numFmtId="0" fontId="6" fillId="2" borderId="9" xfId="2" applyFont="1" applyFill="1" applyBorder="1" applyAlignment="1">
      <alignment horizontal="center" vertical="center"/>
    </xf>
    <xf numFmtId="0" fontId="7" fillId="2" borderId="16" xfId="1" applyFont="1" applyFill="1" applyBorder="1" applyAlignment="1">
      <alignment horizontal="right" vertical="center" wrapText="1"/>
    </xf>
    <xf numFmtId="0" fontId="6" fillId="3" borderId="23" xfId="2" applyFont="1" applyFill="1" applyBorder="1" applyAlignment="1">
      <alignment horizontal="center" vertical="center"/>
    </xf>
    <xf numFmtId="0" fontId="7" fillId="3" borderId="26" xfId="1" applyFont="1" applyFill="1" applyBorder="1" applyAlignment="1">
      <alignment horizontal="right" vertical="center" wrapText="1"/>
    </xf>
    <xf numFmtId="0" fontId="6" fillId="2" borderId="22" xfId="2" applyFont="1" applyFill="1" applyBorder="1" applyAlignment="1">
      <alignment horizontal="center" vertical="center"/>
    </xf>
    <xf numFmtId="0" fontId="6" fillId="2" borderId="23" xfId="2" applyFont="1" applyFill="1" applyBorder="1" applyAlignment="1">
      <alignment horizontal="center" vertical="center"/>
    </xf>
    <xf numFmtId="0" fontId="7" fillId="2" borderId="26" xfId="1" applyFont="1" applyFill="1" applyBorder="1" applyAlignment="1">
      <alignment horizontal="right" vertical="center" wrapText="1"/>
    </xf>
    <xf numFmtId="0" fontId="3" fillId="0" borderId="0" xfId="0" applyFont="1"/>
    <xf numFmtId="0" fontId="11" fillId="0" borderId="0" xfId="0" applyFont="1"/>
    <xf numFmtId="0" fontId="3" fillId="6" borderId="29" xfId="0" applyFont="1" applyFill="1" applyBorder="1" applyAlignment="1">
      <alignment horizontal="centerContinuous" vertical="center"/>
    </xf>
    <xf numFmtId="0" fontId="3" fillId="6" borderId="30" xfId="0" applyFont="1" applyFill="1" applyBorder="1" applyAlignment="1">
      <alignment horizontal="centerContinuous" vertical="center"/>
    </xf>
    <xf numFmtId="0" fontId="3" fillId="6" borderId="31" xfId="0" applyFont="1" applyFill="1" applyBorder="1" applyAlignment="1">
      <alignment horizontal="centerContinuous"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3" fillId="12" borderId="35" xfId="0" applyFont="1" applyFill="1" applyBorder="1" applyAlignment="1">
      <alignment horizontal="centerContinuous" vertical="center"/>
    </xf>
    <xf numFmtId="0" fontId="3" fillId="12" borderId="36" xfId="0" applyFont="1" applyFill="1" applyBorder="1" applyAlignment="1">
      <alignment horizontal="center" vertical="center"/>
    </xf>
    <xf numFmtId="0" fontId="0" fillId="0" borderId="39" xfId="0" applyBorder="1"/>
    <xf numFmtId="0" fontId="6" fillId="2" borderId="27" xfId="2" applyFont="1" applyFill="1" applyBorder="1" applyAlignment="1">
      <alignment horizontal="center" vertical="center"/>
    </xf>
    <xf numFmtId="0" fontId="6" fillId="2" borderId="43" xfId="2" applyFont="1" applyFill="1" applyBorder="1" applyAlignment="1">
      <alignment horizontal="center" vertical="center"/>
    </xf>
    <xf numFmtId="0" fontId="7" fillId="2" borderId="13" xfId="1" applyFont="1" applyFill="1" applyBorder="1" applyAlignment="1">
      <alignment horizontal="right" vertical="center" wrapText="1"/>
    </xf>
    <xf numFmtId="0" fontId="6" fillId="0" borderId="42" xfId="2" applyFont="1" applyBorder="1" applyAlignment="1">
      <alignment horizontal="center" vertical="center"/>
    </xf>
    <xf numFmtId="0" fontId="7" fillId="0" borderId="14" xfId="1" applyFont="1" applyBorder="1" applyAlignment="1">
      <alignment horizontal="right" vertical="center" wrapText="1"/>
    </xf>
    <xf numFmtId="0" fontId="6" fillId="0" borderId="23" xfId="2" applyFont="1" applyBorder="1" applyAlignment="1">
      <alignment horizontal="center" vertical="center"/>
    </xf>
    <xf numFmtId="0" fontId="7" fillId="0" borderId="26" xfId="1" applyFont="1" applyBorder="1" applyAlignment="1">
      <alignment horizontal="right" vertical="center" wrapText="1"/>
    </xf>
    <xf numFmtId="0" fontId="6" fillId="0" borderId="27" xfId="2" applyFont="1" applyBorder="1" applyAlignment="1">
      <alignment horizontal="center" vertical="center"/>
    </xf>
    <xf numFmtId="0" fontId="7" fillId="0" borderId="15" xfId="1" applyFont="1" applyBorder="1" applyAlignment="1">
      <alignment horizontal="right" vertical="center" wrapText="1"/>
    </xf>
    <xf numFmtId="0" fontId="6" fillId="0" borderId="43" xfId="2" applyFont="1" applyBorder="1" applyAlignment="1">
      <alignment horizontal="center" vertical="center"/>
    </xf>
    <xf numFmtId="0" fontId="6" fillId="0" borderId="8" xfId="2" applyFont="1" applyBorder="1" applyAlignment="1">
      <alignment horizontal="center" vertical="center"/>
    </xf>
    <xf numFmtId="0" fontId="6" fillId="0" borderId="22" xfId="2" applyFont="1" applyBorder="1" applyAlignment="1">
      <alignment horizontal="center" vertical="center"/>
    </xf>
    <xf numFmtId="0" fontId="10" fillId="9" borderId="1" xfId="1" applyFont="1" applyFill="1" applyBorder="1" applyAlignment="1">
      <alignment horizontal="center" vertical="center" wrapText="1"/>
    </xf>
    <xf numFmtId="0" fontId="10" fillId="9" borderId="44" xfId="1" applyFont="1" applyFill="1" applyBorder="1" applyAlignment="1">
      <alignment horizontal="center" vertical="center" wrapText="1"/>
    </xf>
    <xf numFmtId="0" fontId="10" fillId="9" borderId="3" xfId="1" applyFont="1" applyFill="1" applyBorder="1" applyAlignment="1">
      <alignment horizontal="center" vertical="center" wrapText="1"/>
    </xf>
    <xf numFmtId="0" fontId="10" fillId="9" borderId="19" xfId="1" applyFont="1" applyFill="1" applyBorder="1" applyAlignment="1">
      <alignment horizontal="center" vertical="center" wrapText="1"/>
    </xf>
    <xf numFmtId="0" fontId="10" fillId="9" borderId="2" xfId="1" applyFont="1" applyFill="1" applyBorder="1" applyAlignment="1">
      <alignment horizontal="center" vertical="center" wrapText="1"/>
    </xf>
    <xf numFmtId="0" fontId="10" fillId="9" borderId="25" xfId="1" applyFont="1" applyFill="1" applyBorder="1" applyAlignment="1">
      <alignment horizontal="center" vertical="center" wrapText="1"/>
    </xf>
    <xf numFmtId="0" fontId="10" fillId="9" borderId="21" xfId="1" applyFont="1" applyFill="1" applyBorder="1" applyAlignment="1">
      <alignment horizontal="center" vertical="center" wrapText="1"/>
    </xf>
    <xf numFmtId="0" fontId="10" fillId="9" borderId="11" xfId="1" applyFont="1" applyFill="1" applyBorder="1" applyAlignment="1">
      <alignment horizontal="center" vertical="center" wrapText="1"/>
    </xf>
    <xf numFmtId="0" fontId="7" fillId="3" borderId="13" xfId="1" applyFont="1" applyFill="1" applyBorder="1" applyAlignment="1">
      <alignment horizontal="right" vertical="center" wrapText="1"/>
    </xf>
    <xf numFmtId="0" fontId="9" fillId="3" borderId="14" xfId="1" applyFont="1" applyFill="1" applyBorder="1" applyAlignment="1">
      <alignment horizontal="right" vertical="center" wrapText="1"/>
    </xf>
    <xf numFmtId="0" fontId="7" fillId="3" borderId="17" xfId="1" applyFont="1" applyFill="1" applyBorder="1" applyAlignment="1">
      <alignment horizontal="right" vertical="center" wrapText="1"/>
    </xf>
    <xf numFmtId="0" fontId="9" fillId="0" borderId="47" xfId="2" applyFont="1" applyBorder="1" applyAlignment="1">
      <alignment horizontal="center" vertical="center"/>
    </xf>
    <xf numFmtId="0" fontId="9" fillId="2" borderId="16" xfId="2" applyFont="1" applyFill="1" applyBorder="1" applyAlignment="1">
      <alignment horizontal="center" vertical="center"/>
    </xf>
    <xf numFmtId="1" fontId="10" fillId="13" borderId="9"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1" fontId="10" fillId="2" borderId="1" xfId="1" applyNumberFormat="1" applyFont="1" applyFill="1" applyBorder="1" applyAlignment="1">
      <alignment horizontal="center" vertical="center" wrapText="1"/>
    </xf>
    <xf numFmtId="0" fontId="10" fillId="3" borderId="1" xfId="1" applyFont="1" applyFill="1" applyBorder="1" applyAlignment="1">
      <alignment horizontal="center" vertical="center" wrapText="1"/>
    </xf>
    <xf numFmtId="1" fontId="10" fillId="3" borderId="1" xfId="1" applyNumberFormat="1" applyFont="1" applyFill="1" applyBorder="1" applyAlignment="1">
      <alignment horizontal="center" vertical="center" wrapText="1"/>
    </xf>
    <xf numFmtId="0" fontId="10" fillId="3" borderId="19" xfId="1" applyFont="1" applyFill="1" applyBorder="1" applyAlignment="1">
      <alignment horizontal="center" vertical="center" wrapText="1"/>
    </xf>
    <xf numFmtId="0" fontId="10" fillId="3" borderId="20" xfId="1" applyFont="1" applyFill="1" applyBorder="1" applyAlignment="1">
      <alignment horizontal="center" vertical="center" wrapText="1"/>
    </xf>
    <xf numFmtId="1" fontId="10" fillId="3" borderId="19" xfId="1" applyNumberFormat="1" applyFont="1" applyFill="1" applyBorder="1" applyAlignment="1">
      <alignment horizontal="center" vertical="center" wrapText="1"/>
    </xf>
    <xf numFmtId="0" fontId="10" fillId="2" borderId="3" xfId="1" applyFont="1" applyFill="1" applyBorder="1" applyAlignment="1">
      <alignment horizontal="center" vertical="center" wrapText="1"/>
    </xf>
    <xf numFmtId="1" fontId="10" fillId="2" borderId="3" xfId="1" applyNumberFormat="1" applyFont="1" applyFill="1" applyBorder="1" applyAlignment="1">
      <alignment horizontal="center" vertical="center" wrapText="1"/>
    </xf>
    <xf numFmtId="0" fontId="10" fillId="2" borderId="11" xfId="1" applyFont="1" applyFill="1" applyBorder="1" applyAlignment="1">
      <alignment horizontal="center" vertical="center" wrapText="1"/>
    </xf>
    <xf numFmtId="1" fontId="10" fillId="2" borderId="11" xfId="1" applyNumberFormat="1" applyFont="1" applyFill="1" applyBorder="1" applyAlignment="1">
      <alignment horizontal="center" vertical="center" wrapText="1"/>
    </xf>
    <xf numFmtId="0" fontId="10" fillId="3" borderId="25" xfId="1" applyFont="1" applyFill="1" applyBorder="1" applyAlignment="1">
      <alignment horizontal="center" vertical="center" wrapText="1"/>
    </xf>
    <xf numFmtId="1" fontId="10" fillId="3" borderId="25" xfId="1" applyNumberFormat="1" applyFont="1" applyFill="1" applyBorder="1" applyAlignment="1">
      <alignment horizontal="center" vertical="center" wrapText="1"/>
    </xf>
    <xf numFmtId="0" fontId="10" fillId="2" borderId="19" xfId="1" applyFont="1" applyFill="1" applyBorder="1" applyAlignment="1">
      <alignment horizontal="center" vertical="center" wrapText="1"/>
    </xf>
    <xf numFmtId="1" fontId="10" fillId="2" borderId="19" xfId="1" applyNumberFormat="1" applyFont="1" applyFill="1" applyBorder="1" applyAlignment="1">
      <alignment horizontal="center" vertical="center" wrapText="1"/>
    </xf>
    <xf numFmtId="0" fontId="10" fillId="2" borderId="25" xfId="1" applyFont="1" applyFill="1" applyBorder="1" applyAlignment="1">
      <alignment horizontal="center" vertical="center" wrapText="1"/>
    </xf>
    <xf numFmtId="1" fontId="10" fillId="2" borderId="25" xfId="1" applyNumberFormat="1" applyFont="1" applyFill="1" applyBorder="1" applyAlignment="1">
      <alignment horizontal="center" vertical="center" wrapText="1"/>
    </xf>
    <xf numFmtId="1" fontId="10" fillId="0" borderId="21" xfId="1" applyNumberFormat="1" applyFont="1" applyBorder="1" applyAlignment="1">
      <alignment horizontal="center" vertical="center" wrapText="1"/>
    </xf>
    <xf numFmtId="0" fontId="10" fillId="0" borderId="21" xfId="1" applyFont="1" applyBorder="1" applyAlignment="1">
      <alignment horizontal="center" vertical="center" wrapText="1"/>
    </xf>
    <xf numFmtId="0" fontId="10" fillId="0" borderId="25" xfId="1" applyFont="1" applyBorder="1" applyAlignment="1">
      <alignment horizontal="center" vertical="center" wrapText="1"/>
    </xf>
    <xf numFmtId="0" fontId="10" fillId="0" borderId="28" xfId="1" applyFont="1" applyBorder="1" applyAlignment="1">
      <alignment horizontal="center" vertical="center" wrapText="1"/>
    </xf>
    <xf numFmtId="1" fontId="10" fillId="0" borderId="25" xfId="1" applyNumberFormat="1" applyFont="1" applyBorder="1" applyAlignment="1">
      <alignment horizontal="center" vertical="center" wrapText="1"/>
    </xf>
    <xf numFmtId="0" fontId="10" fillId="0" borderId="1" xfId="1" applyFont="1" applyBorder="1" applyAlignment="1">
      <alignment horizontal="center" vertical="center" wrapText="1"/>
    </xf>
    <xf numFmtId="1" fontId="10" fillId="0" borderId="1" xfId="1" applyNumberFormat="1" applyFont="1" applyBorder="1" applyAlignment="1">
      <alignment horizontal="center" vertical="center" wrapText="1"/>
    </xf>
    <xf numFmtId="0" fontId="10" fillId="0" borderId="12" xfId="1" applyFont="1" applyBorder="1" applyAlignment="1">
      <alignment horizontal="center" vertical="center" wrapText="1"/>
    </xf>
    <xf numFmtId="0" fontId="10" fillId="2" borderId="12" xfId="1" applyFont="1" applyFill="1" applyBorder="1" applyAlignment="1">
      <alignment horizontal="center" vertical="center" wrapText="1"/>
    </xf>
    <xf numFmtId="0" fontId="10" fillId="0" borderId="19" xfId="1" applyFont="1" applyBorder="1" applyAlignment="1">
      <alignment horizontal="center" vertical="center" wrapText="1"/>
    </xf>
    <xf numFmtId="1" fontId="10" fillId="0" borderId="19" xfId="1" applyNumberFormat="1" applyFont="1" applyBorder="1" applyAlignment="1">
      <alignment horizontal="center" vertical="center" wrapText="1"/>
    </xf>
    <xf numFmtId="0" fontId="13" fillId="2" borderId="11" xfId="2" applyFont="1" applyFill="1" applyBorder="1" applyAlignment="1">
      <alignment horizontal="center" vertical="center"/>
    </xf>
    <xf numFmtId="0" fontId="17" fillId="2" borderId="11" xfId="2" applyFont="1" applyFill="1" applyBorder="1" applyAlignment="1">
      <alignment horizontal="center" vertical="center"/>
    </xf>
    <xf numFmtId="0" fontId="15" fillId="2" borderId="21" xfId="1" applyFont="1" applyFill="1" applyBorder="1" applyAlignment="1">
      <alignment horizontal="center" vertical="center" wrapText="1"/>
    </xf>
    <xf numFmtId="0" fontId="10" fillId="5" borderId="49" xfId="1" applyFont="1" applyFill="1" applyBorder="1" applyAlignment="1">
      <alignment horizontal="center" vertical="center" wrapText="1"/>
    </xf>
    <xf numFmtId="0" fontId="10" fillId="5" borderId="47" xfId="1" applyFont="1" applyFill="1" applyBorder="1" applyAlignment="1">
      <alignment horizontal="center" vertical="center" wrapText="1"/>
    </xf>
    <xf numFmtId="0" fontId="10" fillId="5" borderId="50" xfId="1" applyFont="1" applyFill="1" applyBorder="1" applyAlignment="1">
      <alignment horizontal="center" vertical="center" wrapText="1"/>
    </xf>
    <xf numFmtId="0" fontId="5" fillId="5" borderId="51" xfId="1" applyFont="1" applyFill="1" applyBorder="1" applyAlignment="1">
      <alignment horizontal="center" vertical="center" wrapText="1"/>
    </xf>
    <xf numFmtId="0" fontId="20" fillId="5" borderId="53" xfId="1" applyFont="1" applyFill="1" applyBorder="1" applyAlignment="1">
      <alignment horizontal="center" vertical="center" wrapText="1"/>
    </xf>
    <xf numFmtId="0" fontId="20" fillId="5" borderId="54" xfId="1" applyFont="1" applyFill="1" applyBorder="1" applyAlignment="1">
      <alignment horizontal="center" vertical="center" wrapText="1"/>
    </xf>
    <xf numFmtId="0" fontId="10" fillId="5" borderId="55" xfId="1" applyFont="1" applyFill="1" applyBorder="1" applyAlignment="1">
      <alignment horizontal="center" vertical="center" wrapText="1"/>
    </xf>
    <xf numFmtId="0" fontId="5" fillId="5" borderId="56" xfId="1" applyFont="1" applyFill="1" applyBorder="1" applyAlignment="1">
      <alignment horizontal="center" vertical="center" wrapText="1"/>
    </xf>
    <xf numFmtId="0" fontId="10" fillId="5" borderId="57" xfId="1" applyFont="1" applyFill="1" applyBorder="1" applyAlignment="1">
      <alignment horizontal="center" vertical="center" wrapText="1"/>
    </xf>
    <xf numFmtId="0" fontId="18" fillId="11" borderId="7" xfId="2" applyFont="1" applyFill="1" applyBorder="1" applyAlignment="1">
      <alignment horizontal="center" vertical="center"/>
    </xf>
    <xf numFmtId="0" fontId="18" fillId="11" borderId="6" xfId="2" applyFont="1" applyFill="1" applyBorder="1" applyAlignment="1">
      <alignment horizontal="center" vertical="center"/>
    </xf>
    <xf numFmtId="0" fontId="18" fillId="11" borderId="5" xfId="2" applyFont="1" applyFill="1" applyBorder="1" applyAlignment="1">
      <alignment horizontal="center" vertical="center"/>
    </xf>
    <xf numFmtId="0" fontId="21" fillId="14" borderId="52" xfId="1" applyFont="1" applyFill="1" applyBorder="1" applyAlignment="1">
      <alignment horizontal="center" vertical="center" wrapText="1"/>
    </xf>
    <xf numFmtId="0" fontId="21" fillId="14" borderId="5" xfId="1" applyFont="1" applyFill="1" applyBorder="1" applyAlignment="1">
      <alignment horizontal="center" vertical="center" wrapText="1"/>
    </xf>
    <xf numFmtId="0" fontId="12" fillId="10" borderId="46" xfId="1" applyFont="1" applyFill="1" applyBorder="1" applyAlignment="1">
      <alignment horizontal="center" vertical="center" wrapText="1"/>
    </xf>
    <xf numFmtId="0" fontId="12" fillId="10" borderId="45" xfId="1" applyFont="1" applyFill="1" applyBorder="1" applyAlignment="1">
      <alignment horizontal="center" vertical="center" wrapText="1"/>
    </xf>
    <xf numFmtId="0" fontId="12" fillId="10" borderId="48" xfId="1" applyFont="1" applyFill="1" applyBorder="1" applyAlignment="1">
      <alignment horizontal="center" vertical="center" wrapText="1"/>
    </xf>
    <xf numFmtId="0" fontId="22" fillId="5" borderId="23" xfId="1" applyFont="1" applyFill="1" applyBorder="1" applyAlignment="1">
      <alignment horizontal="center" vertical="center" wrapText="1"/>
    </xf>
    <xf numFmtId="0" fontId="22" fillId="5" borderId="22" xfId="1" applyFont="1" applyFill="1" applyBorder="1" applyAlignment="1">
      <alignment horizontal="center" vertical="center" wrapText="1"/>
    </xf>
    <xf numFmtId="0" fontId="10" fillId="5" borderId="54" xfId="1" applyFont="1" applyFill="1" applyBorder="1" applyAlignment="1">
      <alignment horizontal="center" vertical="center" wrapText="1"/>
    </xf>
    <xf numFmtId="0" fontId="10" fillId="5" borderId="21" xfId="1" applyFont="1" applyFill="1" applyBorder="1" applyAlignment="1">
      <alignment horizontal="center" vertical="center" wrapText="1"/>
    </xf>
    <xf numFmtId="0" fontId="5" fillId="12" borderId="7" xfId="1" applyFont="1" applyFill="1" applyBorder="1" applyAlignment="1">
      <alignment horizontal="center" vertical="center" wrapText="1"/>
    </xf>
    <xf numFmtId="0" fontId="5" fillId="12" borderId="5" xfId="1" applyFont="1" applyFill="1" applyBorder="1" applyAlignment="1">
      <alignment horizontal="center" vertical="center" wrapText="1"/>
    </xf>
    <xf numFmtId="0" fontId="12" fillId="12" borderId="9" xfId="1" applyFont="1" applyFill="1" applyBorder="1" applyAlignment="1">
      <alignment horizontal="center" vertical="center" wrapText="1"/>
    </xf>
    <xf numFmtId="0" fontId="12" fillId="12" borderId="11" xfId="1" applyFont="1" applyFill="1" applyBorder="1" applyAlignment="1">
      <alignment horizontal="center" vertical="center" wrapText="1"/>
    </xf>
    <xf numFmtId="0" fontId="12" fillId="12" borderId="10" xfId="1" applyFont="1" applyFill="1" applyBorder="1" applyAlignment="1">
      <alignment horizontal="center" vertical="center" wrapText="1"/>
    </xf>
    <xf numFmtId="1" fontId="12" fillId="12" borderId="7" xfId="1" applyNumberFormat="1" applyFont="1" applyFill="1" applyBorder="1" applyAlignment="1">
      <alignment horizontal="right" vertical="center" wrapText="1"/>
    </xf>
    <xf numFmtId="1" fontId="12" fillId="12" borderId="6" xfId="1" applyNumberFormat="1" applyFont="1" applyFill="1" applyBorder="1" applyAlignment="1">
      <alignment horizontal="right" vertical="center" wrapText="1"/>
    </xf>
    <xf numFmtId="1" fontId="12" fillId="12" borderId="5" xfId="1" applyNumberFormat="1" applyFont="1" applyFill="1" applyBorder="1" applyAlignment="1">
      <alignment horizontal="right" vertical="center" wrapText="1"/>
    </xf>
    <xf numFmtId="1" fontId="12" fillId="13" borderId="7" xfId="1" applyNumberFormat="1" applyFont="1" applyFill="1" applyBorder="1" applyAlignment="1">
      <alignment horizontal="right" vertical="center" wrapText="1"/>
    </xf>
    <xf numFmtId="1" fontId="12" fillId="13" borderId="5" xfId="1" applyNumberFormat="1" applyFont="1" applyFill="1" applyBorder="1" applyAlignment="1">
      <alignment horizontal="right" vertical="center" wrapText="1"/>
    </xf>
    <xf numFmtId="0" fontId="13" fillId="2" borderId="2" xfId="2" applyFont="1" applyFill="1" applyBorder="1" applyAlignment="1">
      <alignment horizontal="center" vertical="center" textRotation="90"/>
    </xf>
    <xf numFmtId="0" fontId="13" fillId="2" borderId="21" xfId="2" applyFont="1" applyFill="1" applyBorder="1" applyAlignment="1">
      <alignment horizontal="center" vertical="center" textRotation="90"/>
    </xf>
    <xf numFmtId="0" fontId="14" fillId="8" borderId="24" xfId="1" applyFont="1" applyFill="1" applyBorder="1" applyAlignment="1">
      <alignment horizontal="center" vertical="center" textRotation="90" wrapText="1"/>
    </xf>
    <xf numFmtId="0" fontId="14" fillId="8" borderId="2" xfId="1" applyFont="1" applyFill="1" applyBorder="1" applyAlignment="1">
      <alignment horizontal="center" vertical="center" textRotation="90" wrapText="1"/>
    </xf>
    <xf numFmtId="0" fontId="14" fillId="8" borderId="21" xfId="1" applyFont="1" applyFill="1" applyBorder="1" applyAlignment="1">
      <alignment horizontal="center" vertical="center" textRotation="90" wrapText="1"/>
    </xf>
    <xf numFmtId="0" fontId="14" fillId="2" borderId="24" xfId="1" applyFont="1" applyFill="1" applyBorder="1" applyAlignment="1">
      <alignment horizontal="center" vertical="center" textRotation="90" wrapText="1"/>
    </xf>
    <xf numFmtId="0" fontId="14" fillId="2" borderId="2" xfId="1" applyFont="1" applyFill="1" applyBorder="1" applyAlignment="1">
      <alignment horizontal="center" vertical="center" textRotation="90" wrapText="1"/>
    </xf>
    <xf numFmtId="0" fontId="14" fillId="2" borderId="21" xfId="1" applyFont="1" applyFill="1" applyBorder="1" applyAlignment="1">
      <alignment horizontal="center" vertical="center" textRotation="90" wrapText="1"/>
    </xf>
    <xf numFmtId="0" fontId="16" fillId="8" borderId="24" xfId="1" applyFont="1" applyFill="1" applyBorder="1" applyAlignment="1">
      <alignment horizontal="center" vertical="center" wrapText="1"/>
    </xf>
    <xf numFmtId="0" fontId="16" fillId="8" borderId="21" xfId="1" applyFont="1" applyFill="1" applyBorder="1" applyAlignment="1">
      <alignment horizontal="center" vertical="center" wrapText="1"/>
    </xf>
    <xf numFmtId="0" fontId="19" fillId="4" borderId="7" xfId="1" applyFont="1" applyFill="1" applyBorder="1" applyAlignment="1">
      <alignment horizontal="center" vertical="center" wrapText="1"/>
    </xf>
    <xf numFmtId="0" fontId="19" fillId="4" borderId="6" xfId="1" applyFont="1" applyFill="1" applyBorder="1" applyAlignment="1">
      <alignment horizontal="center" vertical="center" wrapText="1"/>
    </xf>
    <xf numFmtId="0" fontId="19" fillId="4" borderId="5" xfId="1" applyFont="1" applyFill="1" applyBorder="1" applyAlignment="1">
      <alignment horizontal="center" vertical="center" wrapText="1"/>
    </xf>
    <xf numFmtId="0" fontId="21" fillId="14" borderId="6"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12" fillId="3" borderId="11" xfId="1" applyFont="1" applyFill="1" applyBorder="1" applyAlignment="1">
      <alignment horizontal="center" vertical="center" wrapText="1"/>
    </xf>
    <xf numFmtId="0" fontId="12" fillId="3" borderId="10" xfId="1" applyFont="1" applyFill="1" applyBorder="1" applyAlignment="1">
      <alignment horizontal="center" vertical="center" wrapText="1"/>
    </xf>
    <xf numFmtId="1" fontId="12" fillId="6" borderId="7" xfId="1" applyNumberFormat="1" applyFont="1" applyFill="1" applyBorder="1" applyAlignment="1">
      <alignment horizontal="center" vertical="center" wrapText="1"/>
    </xf>
    <xf numFmtId="1" fontId="12" fillId="6" borderId="6" xfId="1" applyNumberFormat="1" applyFont="1" applyFill="1" applyBorder="1" applyAlignment="1">
      <alignment horizontal="center" vertical="center" wrapText="1"/>
    </xf>
    <xf numFmtId="1" fontId="12" fillId="6" borderId="5" xfId="1" applyNumberFormat="1" applyFont="1" applyFill="1" applyBorder="1" applyAlignment="1">
      <alignment horizontal="center" vertical="center" wrapText="1"/>
    </xf>
    <xf numFmtId="0" fontId="3" fillId="12" borderId="40" xfId="0" applyFont="1" applyFill="1" applyBorder="1" applyAlignment="1">
      <alignment horizontal="center" vertical="center"/>
    </xf>
    <xf numFmtId="0" fontId="3" fillId="12" borderId="41" xfId="0" applyFont="1" applyFill="1" applyBorder="1" applyAlignment="1">
      <alignment horizontal="center" vertical="center"/>
    </xf>
    <xf numFmtId="0" fontId="3" fillId="12" borderId="37" xfId="0" applyFont="1" applyFill="1" applyBorder="1" applyAlignment="1">
      <alignment horizontal="center" vertical="center"/>
    </xf>
    <xf numFmtId="0" fontId="3" fillId="12" borderId="38" xfId="0" applyFont="1" applyFill="1" applyBorder="1" applyAlignment="1">
      <alignment horizontal="center" vertical="center"/>
    </xf>
  </cellXfs>
  <cellStyles count="4">
    <cellStyle name="20% - Accent1 2" xfId="3" xr:uid="{00000000-0005-0000-0000-000000000000}"/>
    <cellStyle name="Normal" xfId="0" builtinId="0"/>
    <cellStyle name="Normal 2" xfId="2" xr:uid="{00000000-0005-0000-0000-000002000000}"/>
    <cellStyle name="Normal 3" xfId="1" xr:uid="{00000000-0005-0000-0000-000003000000}"/>
  </cellStyles>
  <dxfs count="0"/>
  <tableStyles count="0" defaultTableStyle="TableStyleMedium2" defaultPivotStyle="PivotStyleLight16"/>
  <colors>
    <mruColors>
      <color rgb="FF72E08C"/>
      <color rgb="FF87C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9</xdr:col>
      <xdr:colOff>0</xdr:colOff>
      <xdr:row>19</xdr:row>
      <xdr:rowOff>0</xdr:rowOff>
    </xdr:to>
    <xdr:pic>
      <xdr:nvPicPr>
        <xdr:cNvPr id="2" name="Photo 1"/>
        <xdr:cNvPicPr>
          <a:picLocks noChangeAspect="1"/>
        </xdr:cNvPicPr>
      </xdr:nvPicPr>
      <xdr:blipFill>
        <a:blip r:embed="rId1"/>
        <a:stretch>
          <a:fillRect/>
        </a:stretch>
      </xdr:blipFill>
      <xdr:spPr>
        <a:xfrm>
          <a:off x="0" y="0"/>
          <a:ext cx="0" cy="0"/>
        </a:xfrm>
        <a:prstGeom prst="rect">
          <a:avLst/>
        </a:prstGeom>
      </xdr:spPr>
    </xdr:pic>
    <xdr:clientData/>
  </xdr:twoCellAnchor>
  <xdr:twoCellAnchor editAs="oneCell">
    <xdr:from>
      <xdr:col>1</xdr:col>
      <xdr:colOff>0</xdr:colOff>
      <xdr:row>21</xdr:row>
      <xdr:rowOff>0</xdr:rowOff>
    </xdr:from>
    <xdr:to>
      <xdr:col>9</xdr:col>
      <xdr:colOff>0</xdr:colOff>
      <xdr:row>39</xdr:row>
      <xdr:rowOff>0</xdr:rowOff>
    </xdr:to>
    <xdr:pic>
      <xdr:nvPicPr>
        <xdr:cNvPr id="3" name="Photo 2"/>
        <xdr:cNvPicPr>
          <a:picLocks noChangeAspect="1"/>
        </xdr:cNvPicPr>
      </xdr:nvPicPr>
      <xdr:blipFill>
        <a:blip r:embed="rId2"/>
        <a:stretch>
          <a:fillRect/>
        </a:stretch>
      </xdr:blipFill>
      <xdr:spPr>
        <a:xfrm>
          <a:off x="0" y="0"/>
          <a:ext cx="0" cy="0"/>
        </a:xfrm>
        <a:prstGeom prst="rect">
          <a:avLst/>
        </a:prstGeom>
      </xdr:spPr>
    </xdr:pic>
    <xdr:clientData/>
  </xdr:twoCellAnchor>
  <xdr:twoCellAnchor editAs="oneCell">
    <xdr:from>
      <xdr:col>1</xdr:col>
      <xdr:colOff>0</xdr:colOff>
      <xdr:row>41</xdr:row>
      <xdr:rowOff>0</xdr:rowOff>
    </xdr:from>
    <xdr:to>
      <xdr:col>9</xdr:col>
      <xdr:colOff>0</xdr:colOff>
      <xdr:row>59</xdr:row>
      <xdr:rowOff>0</xdr:rowOff>
    </xdr:to>
    <xdr:pic>
      <xdr:nvPicPr>
        <xdr:cNvPr id="4" name="Photo 3"/>
        <xdr:cNvPicPr>
          <a:picLocks noChangeAspect="1"/>
        </xdr:cNvPicPr>
      </xdr:nvPicPr>
      <xdr:blipFill>
        <a:blip r:embed="rId3"/>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 Id="rId100"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EF2F-7577-481B-B00C-A867E6F91CD5}">
  <dimension ref="A1:K46"/>
  <sheetViews>
    <sheetView rightToLeft="1" tabSelected="1" view="pageBreakPreview" zoomScale="55" zoomScaleNormal="70" zoomScaleSheetLayoutView="55" workbookViewId="0">
      <pane xSplit="1" ySplit="6" topLeftCell="B20" activePane="bottomRight" state="frozen"/>
      <selection pane="topRight" activeCell="B1" sqref="B1"/>
      <selection pane="bottomLeft" activeCell="A5" sqref="A5"/>
      <selection pane="bottomRight" activeCell="I26" sqref="I26"/>
    </sheetView>
  </sheetViews>
  <sheetFormatPr defaultRowHeight="15.6"/>
  <cols>
    <col min="1" max="1" width="2" style="1" customWidth="1"/>
    <col min="2" max="2" width="5.8984375" style="1" customWidth="1"/>
    <col min="3" max="3" width="14.8984375" style="1" customWidth="1"/>
    <col min="4" max="4" width="14" style="1" customWidth="1"/>
    <col min="5" max="5" width="9.09765625" style="1" customWidth="1"/>
    <col min="6" max="6" width="13.296875" style="1" customWidth="1"/>
    <col min="7" max="8" width="14.09765625" style="1" customWidth="1"/>
    <col min="9" max="9" width="60.296875" style="5" customWidth="1"/>
    <col min="10" max="10" width="42.59765625" style="1" bestFit="1" customWidth="1"/>
    <col min="11" max="255" width="9.09765625" style="1"/>
    <col min="256" max="256" width="22.69921875" style="1" customWidth="1"/>
    <col min="257" max="257" width="11.296875" style="1" customWidth="1"/>
    <col min="258" max="260" width="13.296875" style="1" customWidth="1"/>
    <col min="261" max="261" width="18.8984375" style="1" customWidth="1"/>
    <col min="262" max="262" width="24.59765625" style="1" customWidth="1"/>
    <col min="263" max="511" width="9.09765625" style="1"/>
    <col min="512" max="512" width="22.69921875" style="1" customWidth="1"/>
    <col min="513" max="513" width="11.296875" style="1" customWidth="1"/>
    <col min="514" max="516" width="13.296875" style="1" customWidth="1"/>
    <col min="517" max="517" width="18.8984375" style="1" customWidth="1"/>
    <col min="518" max="518" width="24.59765625" style="1" customWidth="1"/>
    <col min="519" max="767" width="9.09765625" style="1"/>
    <col min="768" max="768" width="22.69921875" style="1" customWidth="1"/>
    <col min="769" max="769" width="11.296875" style="1" customWidth="1"/>
    <col min="770" max="772" width="13.296875" style="1" customWidth="1"/>
    <col min="773" max="773" width="18.8984375" style="1" customWidth="1"/>
    <col min="774" max="774" width="24.59765625" style="1" customWidth="1"/>
    <col min="775" max="1023" width="9.09765625" style="1"/>
    <col min="1024" max="1024" width="22.69921875" style="1" customWidth="1"/>
    <col min="1025" max="1025" width="11.296875" style="1" customWidth="1"/>
    <col min="1026" max="1028" width="13.296875" style="1" customWidth="1"/>
    <col min="1029" max="1029" width="18.8984375" style="1" customWidth="1"/>
    <col min="1030" max="1030" width="24.59765625" style="1" customWidth="1"/>
    <col min="1031" max="1279" width="9.09765625" style="1"/>
    <col min="1280" max="1280" width="22.69921875" style="1" customWidth="1"/>
    <col min="1281" max="1281" width="11.296875" style="1" customWidth="1"/>
    <col min="1282" max="1284" width="13.296875" style="1" customWidth="1"/>
    <col min="1285" max="1285" width="18.8984375" style="1" customWidth="1"/>
    <col min="1286" max="1286" width="24.59765625" style="1" customWidth="1"/>
    <col min="1287" max="1535" width="9.09765625" style="1"/>
    <col min="1536" max="1536" width="22.69921875" style="1" customWidth="1"/>
    <col min="1537" max="1537" width="11.296875" style="1" customWidth="1"/>
    <col min="1538" max="1540" width="13.296875" style="1" customWidth="1"/>
    <col min="1541" max="1541" width="18.8984375" style="1" customWidth="1"/>
    <col min="1542" max="1542" width="24.59765625" style="1" customWidth="1"/>
    <col min="1543" max="1791" width="9.09765625" style="1"/>
    <col min="1792" max="1792" width="22.69921875" style="1" customWidth="1"/>
    <col min="1793" max="1793" width="11.296875" style="1" customWidth="1"/>
    <col min="1794" max="1796" width="13.296875" style="1" customWidth="1"/>
    <col min="1797" max="1797" width="18.8984375" style="1" customWidth="1"/>
    <col min="1798" max="1798" width="24.59765625" style="1" customWidth="1"/>
    <col min="1799" max="2047" width="9.09765625" style="1"/>
    <col min="2048" max="2048" width="22.69921875" style="1" customWidth="1"/>
    <col min="2049" max="2049" width="11.296875" style="1" customWidth="1"/>
    <col min="2050" max="2052" width="13.296875" style="1" customWidth="1"/>
    <col min="2053" max="2053" width="18.8984375" style="1" customWidth="1"/>
    <col min="2054" max="2054" width="24.59765625" style="1" customWidth="1"/>
    <col min="2055" max="2303" width="9.09765625" style="1"/>
    <col min="2304" max="2304" width="22.69921875" style="1" customWidth="1"/>
    <col min="2305" max="2305" width="11.296875" style="1" customWidth="1"/>
    <col min="2306" max="2308" width="13.296875" style="1" customWidth="1"/>
    <col min="2309" max="2309" width="18.8984375" style="1" customWidth="1"/>
    <col min="2310" max="2310" width="24.59765625" style="1" customWidth="1"/>
    <col min="2311" max="2559" width="9.09765625" style="1"/>
    <col min="2560" max="2560" width="22.69921875" style="1" customWidth="1"/>
    <col min="2561" max="2561" width="11.296875" style="1" customWidth="1"/>
    <col min="2562" max="2564" width="13.296875" style="1" customWidth="1"/>
    <col min="2565" max="2565" width="18.8984375" style="1" customWidth="1"/>
    <col min="2566" max="2566" width="24.59765625" style="1" customWidth="1"/>
    <col min="2567" max="2815" width="9.09765625" style="1"/>
    <col min="2816" max="2816" width="22.69921875" style="1" customWidth="1"/>
    <col min="2817" max="2817" width="11.296875" style="1" customWidth="1"/>
    <col min="2818" max="2820" width="13.296875" style="1" customWidth="1"/>
    <col min="2821" max="2821" width="18.8984375" style="1" customWidth="1"/>
    <col min="2822" max="2822" width="24.59765625" style="1" customWidth="1"/>
    <col min="2823" max="3071" width="9.09765625" style="1"/>
    <col min="3072" max="3072" width="22.69921875" style="1" customWidth="1"/>
    <col min="3073" max="3073" width="11.296875" style="1" customWidth="1"/>
    <col min="3074" max="3076" width="13.296875" style="1" customWidth="1"/>
    <col min="3077" max="3077" width="18.8984375" style="1" customWidth="1"/>
    <col min="3078" max="3078" width="24.59765625" style="1" customWidth="1"/>
    <col min="3079" max="3327" width="9.09765625" style="1"/>
    <col min="3328" max="3328" width="22.69921875" style="1" customWidth="1"/>
    <col min="3329" max="3329" width="11.296875" style="1" customWidth="1"/>
    <col min="3330" max="3332" width="13.296875" style="1" customWidth="1"/>
    <col min="3333" max="3333" width="18.8984375" style="1" customWidth="1"/>
    <col min="3334" max="3334" width="24.59765625" style="1" customWidth="1"/>
    <col min="3335" max="3583" width="9.09765625" style="1"/>
    <col min="3584" max="3584" width="22.69921875" style="1" customWidth="1"/>
    <col min="3585" max="3585" width="11.296875" style="1" customWidth="1"/>
    <col min="3586" max="3588" width="13.296875" style="1" customWidth="1"/>
    <col min="3589" max="3589" width="18.8984375" style="1" customWidth="1"/>
    <col min="3590" max="3590" width="24.59765625" style="1" customWidth="1"/>
    <col min="3591" max="3839" width="9.09765625" style="1"/>
    <col min="3840" max="3840" width="22.69921875" style="1" customWidth="1"/>
    <col min="3841" max="3841" width="11.296875" style="1" customWidth="1"/>
    <col min="3842" max="3844" width="13.296875" style="1" customWidth="1"/>
    <col min="3845" max="3845" width="18.8984375" style="1" customWidth="1"/>
    <col min="3846" max="3846" width="24.59765625" style="1" customWidth="1"/>
    <col min="3847" max="4095" width="9.09765625" style="1"/>
    <col min="4096" max="4096" width="22.69921875" style="1" customWidth="1"/>
    <col min="4097" max="4097" width="11.296875" style="1" customWidth="1"/>
    <col min="4098" max="4100" width="13.296875" style="1" customWidth="1"/>
    <col min="4101" max="4101" width="18.8984375" style="1" customWidth="1"/>
    <col min="4102" max="4102" width="24.59765625" style="1" customWidth="1"/>
    <col min="4103" max="4351" width="9.09765625" style="1"/>
    <col min="4352" max="4352" width="22.69921875" style="1" customWidth="1"/>
    <col min="4353" max="4353" width="11.296875" style="1" customWidth="1"/>
    <col min="4354" max="4356" width="13.296875" style="1" customWidth="1"/>
    <col min="4357" max="4357" width="18.8984375" style="1" customWidth="1"/>
    <col min="4358" max="4358" width="24.59765625" style="1" customWidth="1"/>
    <col min="4359" max="4607" width="9.09765625" style="1"/>
    <col min="4608" max="4608" width="22.69921875" style="1" customWidth="1"/>
    <col min="4609" max="4609" width="11.296875" style="1" customWidth="1"/>
    <col min="4610" max="4612" width="13.296875" style="1" customWidth="1"/>
    <col min="4613" max="4613" width="18.8984375" style="1" customWidth="1"/>
    <col min="4614" max="4614" width="24.59765625" style="1" customWidth="1"/>
    <col min="4615" max="4863" width="9.09765625" style="1"/>
    <col min="4864" max="4864" width="22.69921875" style="1" customWidth="1"/>
    <col min="4865" max="4865" width="11.296875" style="1" customWidth="1"/>
    <col min="4866" max="4868" width="13.296875" style="1" customWidth="1"/>
    <col min="4869" max="4869" width="18.8984375" style="1" customWidth="1"/>
    <col min="4870" max="4870" width="24.59765625" style="1" customWidth="1"/>
    <col min="4871" max="5119" width="9.09765625" style="1"/>
    <col min="5120" max="5120" width="22.69921875" style="1" customWidth="1"/>
    <col min="5121" max="5121" width="11.296875" style="1" customWidth="1"/>
    <col min="5122" max="5124" width="13.296875" style="1" customWidth="1"/>
    <col min="5125" max="5125" width="18.8984375" style="1" customWidth="1"/>
    <col min="5126" max="5126" width="24.59765625" style="1" customWidth="1"/>
    <col min="5127" max="5375" width="9.09765625" style="1"/>
    <col min="5376" max="5376" width="22.69921875" style="1" customWidth="1"/>
    <col min="5377" max="5377" width="11.296875" style="1" customWidth="1"/>
    <col min="5378" max="5380" width="13.296875" style="1" customWidth="1"/>
    <col min="5381" max="5381" width="18.8984375" style="1" customWidth="1"/>
    <col min="5382" max="5382" width="24.59765625" style="1" customWidth="1"/>
    <col min="5383" max="5631" width="9.09765625" style="1"/>
    <col min="5632" max="5632" width="22.69921875" style="1" customWidth="1"/>
    <col min="5633" max="5633" width="11.296875" style="1" customWidth="1"/>
    <col min="5634" max="5636" width="13.296875" style="1" customWidth="1"/>
    <col min="5637" max="5637" width="18.8984375" style="1" customWidth="1"/>
    <col min="5638" max="5638" width="24.59765625" style="1" customWidth="1"/>
    <col min="5639" max="5887" width="9.09765625" style="1"/>
    <col min="5888" max="5888" width="22.69921875" style="1" customWidth="1"/>
    <col min="5889" max="5889" width="11.296875" style="1" customWidth="1"/>
    <col min="5890" max="5892" width="13.296875" style="1" customWidth="1"/>
    <col min="5893" max="5893" width="18.8984375" style="1" customWidth="1"/>
    <col min="5894" max="5894" width="24.59765625" style="1" customWidth="1"/>
    <col min="5895" max="6143" width="9.09765625" style="1"/>
    <col min="6144" max="6144" width="22.69921875" style="1" customWidth="1"/>
    <col min="6145" max="6145" width="11.296875" style="1" customWidth="1"/>
    <col min="6146" max="6148" width="13.296875" style="1" customWidth="1"/>
    <col min="6149" max="6149" width="18.8984375" style="1" customWidth="1"/>
    <col min="6150" max="6150" width="24.59765625" style="1" customWidth="1"/>
    <col min="6151" max="6399" width="9.09765625" style="1"/>
    <col min="6400" max="6400" width="22.69921875" style="1" customWidth="1"/>
    <col min="6401" max="6401" width="11.296875" style="1" customWidth="1"/>
    <col min="6402" max="6404" width="13.296875" style="1" customWidth="1"/>
    <col min="6405" max="6405" width="18.8984375" style="1" customWidth="1"/>
    <col min="6406" max="6406" width="24.59765625" style="1" customWidth="1"/>
    <col min="6407" max="6655" width="9.09765625" style="1"/>
    <col min="6656" max="6656" width="22.69921875" style="1" customWidth="1"/>
    <col min="6657" max="6657" width="11.296875" style="1" customWidth="1"/>
    <col min="6658" max="6660" width="13.296875" style="1" customWidth="1"/>
    <col min="6661" max="6661" width="18.8984375" style="1" customWidth="1"/>
    <col min="6662" max="6662" width="24.59765625" style="1" customWidth="1"/>
    <col min="6663" max="6911" width="9.09765625" style="1"/>
    <col min="6912" max="6912" width="22.69921875" style="1" customWidth="1"/>
    <col min="6913" max="6913" width="11.296875" style="1" customWidth="1"/>
    <col min="6914" max="6916" width="13.296875" style="1" customWidth="1"/>
    <col min="6917" max="6917" width="18.8984375" style="1" customWidth="1"/>
    <col min="6918" max="6918" width="24.59765625" style="1" customWidth="1"/>
    <col min="6919" max="7167" width="9.09765625" style="1"/>
    <col min="7168" max="7168" width="22.69921875" style="1" customWidth="1"/>
    <col min="7169" max="7169" width="11.296875" style="1" customWidth="1"/>
    <col min="7170" max="7172" width="13.296875" style="1" customWidth="1"/>
    <col min="7173" max="7173" width="18.8984375" style="1" customWidth="1"/>
    <col min="7174" max="7174" width="24.59765625" style="1" customWidth="1"/>
    <col min="7175" max="7423" width="9.09765625" style="1"/>
    <col min="7424" max="7424" width="22.69921875" style="1" customWidth="1"/>
    <col min="7425" max="7425" width="11.296875" style="1" customWidth="1"/>
    <col min="7426" max="7428" width="13.296875" style="1" customWidth="1"/>
    <col min="7429" max="7429" width="18.8984375" style="1" customWidth="1"/>
    <col min="7430" max="7430" width="24.59765625" style="1" customWidth="1"/>
    <col min="7431" max="7679" width="9.09765625" style="1"/>
    <col min="7680" max="7680" width="22.69921875" style="1" customWidth="1"/>
    <col min="7681" max="7681" width="11.296875" style="1" customWidth="1"/>
    <col min="7682" max="7684" width="13.296875" style="1" customWidth="1"/>
    <col min="7685" max="7685" width="18.8984375" style="1" customWidth="1"/>
    <col min="7686" max="7686" width="24.59765625" style="1" customWidth="1"/>
    <col min="7687" max="7935" width="9.09765625" style="1"/>
    <col min="7936" max="7936" width="22.69921875" style="1" customWidth="1"/>
    <col min="7937" max="7937" width="11.296875" style="1" customWidth="1"/>
    <col min="7938" max="7940" width="13.296875" style="1" customWidth="1"/>
    <col min="7941" max="7941" width="18.8984375" style="1" customWidth="1"/>
    <col min="7942" max="7942" width="24.59765625" style="1" customWidth="1"/>
    <col min="7943" max="8191" width="9.09765625" style="1"/>
    <col min="8192" max="8192" width="22.69921875" style="1" customWidth="1"/>
    <col min="8193" max="8193" width="11.296875" style="1" customWidth="1"/>
    <col min="8194" max="8196" width="13.296875" style="1" customWidth="1"/>
    <col min="8197" max="8197" width="18.8984375" style="1" customWidth="1"/>
    <col min="8198" max="8198" width="24.59765625" style="1" customWidth="1"/>
    <col min="8199" max="8447" width="9.09765625" style="1"/>
    <col min="8448" max="8448" width="22.69921875" style="1" customWidth="1"/>
    <col min="8449" max="8449" width="11.296875" style="1" customWidth="1"/>
    <col min="8450" max="8452" width="13.296875" style="1" customWidth="1"/>
    <col min="8453" max="8453" width="18.8984375" style="1" customWidth="1"/>
    <col min="8454" max="8454" width="24.59765625" style="1" customWidth="1"/>
    <col min="8455" max="8703" width="9.09765625" style="1"/>
    <col min="8704" max="8704" width="22.69921875" style="1" customWidth="1"/>
    <col min="8705" max="8705" width="11.296875" style="1" customWidth="1"/>
    <col min="8706" max="8708" width="13.296875" style="1" customWidth="1"/>
    <col min="8709" max="8709" width="18.8984375" style="1" customWidth="1"/>
    <col min="8710" max="8710" width="24.59765625" style="1" customWidth="1"/>
    <col min="8711" max="8959" width="9.09765625" style="1"/>
    <col min="8960" max="8960" width="22.69921875" style="1" customWidth="1"/>
    <col min="8961" max="8961" width="11.296875" style="1" customWidth="1"/>
    <col min="8962" max="8964" width="13.296875" style="1" customWidth="1"/>
    <col min="8965" max="8965" width="18.8984375" style="1" customWidth="1"/>
    <col min="8966" max="8966" width="24.59765625" style="1" customWidth="1"/>
    <col min="8967" max="9215" width="9.09765625" style="1"/>
    <col min="9216" max="9216" width="22.69921875" style="1" customWidth="1"/>
    <col min="9217" max="9217" width="11.296875" style="1" customWidth="1"/>
    <col min="9218" max="9220" width="13.296875" style="1" customWidth="1"/>
    <col min="9221" max="9221" width="18.8984375" style="1" customWidth="1"/>
    <col min="9222" max="9222" width="24.59765625" style="1" customWidth="1"/>
    <col min="9223" max="9471" width="9.09765625" style="1"/>
    <col min="9472" max="9472" width="22.69921875" style="1" customWidth="1"/>
    <col min="9473" max="9473" width="11.296875" style="1" customWidth="1"/>
    <col min="9474" max="9476" width="13.296875" style="1" customWidth="1"/>
    <col min="9477" max="9477" width="18.8984375" style="1" customWidth="1"/>
    <col min="9478" max="9478" width="24.59765625" style="1" customWidth="1"/>
    <col min="9479" max="9727" width="9.09765625" style="1"/>
    <col min="9728" max="9728" width="22.69921875" style="1" customWidth="1"/>
    <col min="9729" max="9729" width="11.296875" style="1" customWidth="1"/>
    <col min="9730" max="9732" width="13.296875" style="1" customWidth="1"/>
    <col min="9733" max="9733" width="18.8984375" style="1" customWidth="1"/>
    <col min="9734" max="9734" width="24.59765625" style="1" customWidth="1"/>
    <col min="9735" max="9983" width="9.09765625" style="1"/>
    <col min="9984" max="9984" width="22.69921875" style="1" customWidth="1"/>
    <col min="9985" max="9985" width="11.296875" style="1" customWidth="1"/>
    <col min="9986" max="9988" width="13.296875" style="1" customWidth="1"/>
    <col min="9989" max="9989" width="18.8984375" style="1" customWidth="1"/>
    <col min="9990" max="9990" width="24.59765625" style="1" customWidth="1"/>
    <col min="9991" max="10239" width="9.09765625" style="1"/>
    <col min="10240" max="10240" width="22.69921875" style="1" customWidth="1"/>
    <col min="10241" max="10241" width="11.296875" style="1" customWidth="1"/>
    <col min="10242" max="10244" width="13.296875" style="1" customWidth="1"/>
    <col min="10245" max="10245" width="18.8984375" style="1" customWidth="1"/>
    <col min="10246" max="10246" width="24.59765625" style="1" customWidth="1"/>
    <col min="10247" max="10495" width="9.09765625" style="1"/>
    <col min="10496" max="10496" width="22.69921875" style="1" customWidth="1"/>
    <col min="10497" max="10497" width="11.296875" style="1" customWidth="1"/>
    <col min="10498" max="10500" width="13.296875" style="1" customWidth="1"/>
    <col min="10501" max="10501" width="18.8984375" style="1" customWidth="1"/>
    <col min="10502" max="10502" width="24.59765625" style="1" customWidth="1"/>
    <col min="10503" max="10751" width="9.09765625" style="1"/>
    <col min="10752" max="10752" width="22.69921875" style="1" customWidth="1"/>
    <col min="10753" max="10753" width="11.296875" style="1" customWidth="1"/>
    <col min="10754" max="10756" width="13.296875" style="1" customWidth="1"/>
    <col min="10757" max="10757" width="18.8984375" style="1" customWidth="1"/>
    <col min="10758" max="10758" width="24.59765625" style="1" customWidth="1"/>
    <col min="10759" max="11007" width="9.09765625" style="1"/>
    <col min="11008" max="11008" width="22.69921875" style="1" customWidth="1"/>
    <col min="11009" max="11009" width="11.296875" style="1" customWidth="1"/>
    <col min="11010" max="11012" width="13.296875" style="1" customWidth="1"/>
    <col min="11013" max="11013" width="18.8984375" style="1" customWidth="1"/>
    <col min="11014" max="11014" width="24.59765625" style="1" customWidth="1"/>
    <col min="11015" max="11263" width="9.09765625" style="1"/>
    <col min="11264" max="11264" width="22.69921875" style="1" customWidth="1"/>
    <col min="11265" max="11265" width="11.296875" style="1" customWidth="1"/>
    <col min="11266" max="11268" width="13.296875" style="1" customWidth="1"/>
    <col min="11269" max="11269" width="18.8984375" style="1" customWidth="1"/>
    <col min="11270" max="11270" width="24.59765625" style="1" customWidth="1"/>
    <col min="11271" max="11519" width="9.09765625" style="1"/>
    <col min="11520" max="11520" width="22.69921875" style="1" customWidth="1"/>
    <col min="11521" max="11521" width="11.296875" style="1" customWidth="1"/>
    <col min="11522" max="11524" width="13.296875" style="1" customWidth="1"/>
    <col min="11525" max="11525" width="18.8984375" style="1" customWidth="1"/>
    <col min="11526" max="11526" width="24.59765625" style="1" customWidth="1"/>
    <col min="11527" max="11775" width="9.09765625" style="1"/>
    <col min="11776" max="11776" width="22.69921875" style="1" customWidth="1"/>
    <col min="11777" max="11777" width="11.296875" style="1" customWidth="1"/>
    <col min="11778" max="11780" width="13.296875" style="1" customWidth="1"/>
    <col min="11781" max="11781" width="18.8984375" style="1" customWidth="1"/>
    <col min="11782" max="11782" width="24.59765625" style="1" customWidth="1"/>
    <col min="11783" max="12031" width="9.09765625" style="1"/>
    <col min="12032" max="12032" width="22.69921875" style="1" customWidth="1"/>
    <col min="12033" max="12033" width="11.296875" style="1" customWidth="1"/>
    <col min="12034" max="12036" width="13.296875" style="1" customWidth="1"/>
    <col min="12037" max="12037" width="18.8984375" style="1" customWidth="1"/>
    <col min="12038" max="12038" width="24.59765625" style="1" customWidth="1"/>
    <col min="12039" max="12287" width="9.09765625" style="1"/>
    <col min="12288" max="12288" width="22.69921875" style="1" customWidth="1"/>
    <col min="12289" max="12289" width="11.296875" style="1" customWidth="1"/>
    <col min="12290" max="12292" width="13.296875" style="1" customWidth="1"/>
    <col min="12293" max="12293" width="18.8984375" style="1" customWidth="1"/>
    <col min="12294" max="12294" width="24.59765625" style="1" customWidth="1"/>
    <col min="12295" max="12543" width="9.09765625" style="1"/>
    <col min="12544" max="12544" width="22.69921875" style="1" customWidth="1"/>
    <col min="12545" max="12545" width="11.296875" style="1" customWidth="1"/>
    <col min="12546" max="12548" width="13.296875" style="1" customWidth="1"/>
    <col min="12549" max="12549" width="18.8984375" style="1" customWidth="1"/>
    <col min="12550" max="12550" width="24.59765625" style="1" customWidth="1"/>
    <col min="12551" max="12799" width="9.09765625" style="1"/>
    <col min="12800" max="12800" width="22.69921875" style="1" customWidth="1"/>
    <col min="12801" max="12801" width="11.296875" style="1" customWidth="1"/>
    <col min="12802" max="12804" width="13.296875" style="1" customWidth="1"/>
    <col min="12805" max="12805" width="18.8984375" style="1" customWidth="1"/>
    <col min="12806" max="12806" width="24.59765625" style="1" customWidth="1"/>
    <col min="12807" max="13055" width="9.09765625" style="1"/>
    <col min="13056" max="13056" width="22.69921875" style="1" customWidth="1"/>
    <col min="13057" max="13057" width="11.296875" style="1" customWidth="1"/>
    <col min="13058" max="13060" width="13.296875" style="1" customWidth="1"/>
    <col min="13061" max="13061" width="18.8984375" style="1" customWidth="1"/>
    <col min="13062" max="13062" width="24.59765625" style="1" customWidth="1"/>
    <col min="13063" max="13311" width="9.09765625" style="1"/>
    <col min="13312" max="13312" width="22.69921875" style="1" customWidth="1"/>
    <col min="13313" max="13313" width="11.296875" style="1" customWidth="1"/>
    <col min="13314" max="13316" width="13.296875" style="1" customWidth="1"/>
    <col min="13317" max="13317" width="18.8984375" style="1" customWidth="1"/>
    <col min="13318" max="13318" width="24.59765625" style="1" customWidth="1"/>
    <col min="13319" max="13567" width="9.09765625" style="1"/>
    <col min="13568" max="13568" width="22.69921875" style="1" customWidth="1"/>
    <col min="13569" max="13569" width="11.296875" style="1" customWidth="1"/>
    <col min="13570" max="13572" width="13.296875" style="1" customWidth="1"/>
    <col min="13573" max="13573" width="18.8984375" style="1" customWidth="1"/>
    <col min="13574" max="13574" width="24.59765625" style="1" customWidth="1"/>
    <col min="13575" max="13823" width="9.09765625" style="1"/>
    <col min="13824" max="13824" width="22.69921875" style="1" customWidth="1"/>
    <col min="13825" max="13825" width="11.296875" style="1" customWidth="1"/>
    <col min="13826" max="13828" width="13.296875" style="1" customWidth="1"/>
    <col min="13829" max="13829" width="18.8984375" style="1" customWidth="1"/>
    <col min="13830" max="13830" width="24.59765625" style="1" customWidth="1"/>
    <col min="13831" max="14079" width="9.09765625" style="1"/>
    <col min="14080" max="14080" width="22.69921875" style="1" customWidth="1"/>
    <col min="14081" max="14081" width="11.296875" style="1" customWidth="1"/>
    <col min="14082" max="14084" width="13.296875" style="1" customWidth="1"/>
    <col min="14085" max="14085" width="18.8984375" style="1" customWidth="1"/>
    <col min="14086" max="14086" width="24.59765625" style="1" customWidth="1"/>
    <col min="14087" max="14335" width="9.09765625" style="1"/>
    <col min="14336" max="14336" width="22.69921875" style="1" customWidth="1"/>
    <col min="14337" max="14337" width="11.296875" style="1" customWidth="1"/>
    <col min="14338" max="14340" width="13.296875" style="1" customWidth="1"/>
    <col min="14341" max="14341" width="18.8984375" style="1" customWidth="1"/>
    <col min="14342" max="14342" width="24.59765625" style="1" customWidth="1"/>
    <col min="14343" max="14591" width="9.09765625" style="1"/>
    <col min="14592" max="14592" width="22.69921875" style="1" customWidth="1"/>
    <col min="14593" max="14593" width="11.296875" style="1" customWidth="1"/>
    <col min="14594" max="14596" width="13.296875" style="1" customWidth="1"/>
    <col min="14597" max="14597" width="18.8984375" style="1" customWidth="1"/>
    <col min="14598" max="14598" width="24.59765625" style="1" customWidth="1"/>
    <col min="14599" max="14847" width="9.09765625" style="1"/>
    <col min="14848" max="14848" width="22.69921875" style="1" customWidth="1"/>
    <col min="14849" max="14849" width="11.296875" style="1" customWidth="1"/>
    <col min="14850" max="14852" width="13.296875" style="1" customWidth="1"/>
    <col min="14853" max="14853" width="18.8984375" style="1" customWidth="1"/>
    <col min="14854" max="14854" width="24.59765625" style="1" customWidth="1"/>
    <col min="14855" max="15103" width="9.09765625" style="1"/>
    <col min="15104" max="15104" width="22.69921875" style="1" customWidth="1"/>
    <col min="15105" max="15105" width="11.296875" style="1" customWidth="1"/>
    <col min="15106" max="15108" width="13.296875" style="1" customWidth="1"/>
    <col min="15109" max="15109" width="18.8984375" style="1" customWidth="1"/>
    <col min="15110" max="15110" width="24.59765625" style="1" customWidth="1"/>
    <col min="15111" max="15359" width="9.09765625" style="1"/>
    <col min="15360" max="15360" width="22.69921875" style="1" customWidth="1"/>
    <col min="15361" max="15361" width="11.296875" style="1" customWidth="1"/>
    <col min="15362" max="15364" width="13.296875" style="1" customWidth="1"/>
    <col min="15365" max="15365" width="18.8984375" style="1" customWidth="1"/>
    <col min="15366" max="15366" width="24.59765625" style="1" customWidth="1"/>
    <col min="15367" max="15615" width="9.09765625" style="1"/>
    <col min="15616" max="15616" width="22.69921875" style="1" customWidth="1"/>
    <col min="15617" max="15617" width="11.296875" style="1" customWidth="1"/>
    <col min="15618" max="15620" width="13.296875" style="1" customWidth="1"/>
    <col min="15621" max="15621" width="18.8984375" style="1" customWidth="1"/>
    <col min="15622" max="15622" width="24.59765625" style="1" customWidth="1"/>
    <col min="15623" max="15871" width="9.09765625" style="1"/>
    <col min="15872" max="15872" width="22.69921875" style="1" customWidth="1"/>
    <col min="15873" max="15873" width="11.296875" style="1" customWidth="1"/>
    <col min="15874" max="15876" width="13.296875" style="1" customWidth="1"/>
    <col min="15877" max="15877" width="18.8984375" style="1" customWidth="1"/>
    <col min="15878" max="15878" width="24.59765625" style="1" customWidth="1"/>
    <col min="15879" max="16127" width="9.09765625" style="1"/>
    <col min="16128" max="16128" width="22.69921875" style="1" customWidth="1"/>
    <col min="16129" max="16129" width="11.296875" style="1" customWidth="1"/>
    <col min="16130" max="16132" width="13.296875" style="1" customWidth="1"/>
    <col min="16133" max="16133" width="18.8984375" style="1" customWidth="1"/>
    <col min="16134" max="16134" width="24.59765625" style="1" customWidth="1"/>
    <col min="16135" max="16384" width="9.09765625" style="1"/>
  </cols>
  <sheetData>
    <row r="1" spans="1:10" ht="9" customHeight="1" thickBot="1"/>
    <row r="2" spans="1:10" ht="29.25" customHeight="1" thickTop="1" thickBot="1">
      <c r="B2" s="99" t="s">
        <v>80</v>
      </c>
      <c r="C2" s="100"/>
      <c r="D2" s="100"/>
      <c r="E2" s="100"/>
      <c r="F2" s="100"/>
      <c r="G2" s="100"/>
      <c r="H2" s="100"/>
      <c r="I2" s="100"/>
      <c r="J2" s="101"/>
    </row>
    <row r="3" spans="1:10" ht="33" customHeight="1" thickTop="1" thickBot="1">
      <c r="B3" s="131" t="s">
        <v>30</v>
      </c>
      <c r="C3" s="132"/>
      <c r="D3" s="132"/>
      <c r="E3" s="132"/>
      <c r="F3" s="133"/>
      <c r="G3" s="134" t="s">
        <v>156</v>
      </c>
      <c r="H3" s="134"/>
      <c r="I3" s="102" t="inlineStr">
        <is>
          <t xml:space="preserve">سارة إبراهيم الناطور</t>
        </is>
      </c>
      <c r="J3" s="103"/>
    </row>
    <row r="4" spans="1:10" ht="36" customHeight="1" thickTop="1" thickBot="1">
      <c r="B4" s="104" t="s">
        <v>0</v>
      </c>
      <c r="C4" s="105"/>
      <c r="D4" s="105"/>
      <c r="E4" s="105"/>
      <c r="F4" s="105"/>
      <c r="G4" s="105"/>
      <c r="H4" s="105"/>
      <c r="I4" s="105"/>
      <c r="J4" s="106"/>
    </row>
    <row r="5" spans="1:10" ht="35.1" customHeight="1" thickTop="1" thickBot="1">
      <c r="B5" s="107" t="s">
        <v>18</v>
      </c>
      <c r="C5" s="109" t="s">
        <v>1</v>
      </c>
      <c r="D5" s="109"/>
      <c r="E5" s="94" t="s">
        <v>2</v>
      </c>
      <c r="F5" s="95" t="s">
        <v>3</v>
      </c>
      <c r="G5" s="96" t="s">
        <v>157</v>
      </c>
      <c r="H5" s="97" t="s">
        <v>4</v>
      </c>
      <c r="I5" s="98" t="s">
        <v>52</v>
      </c>
      <c r="J5" s="98" t="s">
        <v>149</v>
      </c>
    </row>
    <row r="6" spans="1:10" ht="35.1" customHeight="1" thickBot="1">
      <c r="B6" s="108"/>
      <c r="C6" s="110" t="s">
        <v>5</v>
      </c>
      <c r="D6" s="110"/>
      <c r="E6" s="90" t="s">
        <v>6</v>
      </c>
      <c r="F6" s="90" t="s">
        <v>7</v>
      </c>
      <c r="G6" s="92" t="s">
        <v>155</v>
      </c>
      <c r="H6" s="93" t="s">
        <v>8</v>
      </c>
      <c r="I6" s="91" t="s">
        <v>48</v>
      </c>
      <c r="J6" s="91" t="s">
        <v>150</v>
      </c>
    </row>
    <row r="7" spans="1:10" ht="54" thickTop="1" thickBot="1">
      <c r="B7" s="12">
        <v>1</v>
      </c>
      <c r="C7" s="121" t="s">
        <v>154</v>
      </c>
      <c r="D7" s="66" t="s">
        <v>19</v>
      </c>
      <c r="E7" s="66" t="s">
        <v>42</v>
      </c>
      <c r="F7" s="47">
        <v>12.5</v>
      </c>
      <c r="G7" s="67">
        <v>350</v>
      </c>
      <c r="H7" s="67">
        <f t="shared" ref="H7:H43" si="0">F7*G7</f>
        <v>0</v>
      </c>
      <c r="I7" s="11" t="s">
        <v>49</v>
      </c>
      <c r="J7" s="11" t="s">
        <v>114</v>
      </c>
    </row>
    <row r="8" spans="1:10" ht="53.4" thickBot="1">
      <c r="A8" s="3"/>
      <c r="B8" s="2">
        <v>2</v>
      </c>
      <c r="C8" s="121"/>
      <c r="D8" s="61" t="s">
        <v>43</v>
      </c>
      <c r="E8" s="61" t="s">
        <v>44</v>
      </c>
      <c r="F8" s="45">
        <v>8</v>
      </c>
      <c r="G8" s="62">
        <v>4</v>
      </c>
      <c r="H8" s="62">
        <f t="shared" si="0"/>
        <v>0</v>
      </c>
      <c r="I8" s="7" t="s">
        <v>53</v>
      </c>
      <c r="J8" s="7" t="s">
        <v>115</v>
      </c>
    </row>
    <row r="9" spans="1:10" ht="79.8" thickBot="1">
      <c r="A9" s="3"/>
      <c r="B9" s="8">
        <v>3</v>
      </c>
      <c r="C9" s="121"/>
      <c r="D9" s="59" t="s">
        <v>20</v>
      </c>
      <c r="E9" s="59" t="s">
        <v>9</v>
      </c>
      <c r="F9" s="45">
        <v>4</v>
      </c>
      <c r="G9" s="60">
        <v>15</v>
      </c>
      <c r="H9" s="60">
        <f t="shared" si="0"/>
        <v>0</v>
      </c>
      <c r="I9" s="9" t="s">
        <v>89</v>
      </c>
      <c r="J9" s="9" t="s">
        <v>116</v>
      </c>
    </row>
    <row r="10" spans="1:10" ht="106.2" thickBot="1">
      <c r="A10" s="3"/>
      <c r="B10" s="2">
        <v>4</v>
      </c>
      <c r="C10" s="121"/>
      <c r="D10" s="61" t="s">
        <v>31</v>
      </c>
      <c r="E10" s="61" t="s">
        <v>9</v>
      </c>
      <c r="F10" s="45"/>
      <c r="G10" s="62">
        <v>12</v>
      </c>
      <c r="H10" s="62">
        <f t="shared" si="0"/>
        <v>0</v>
      </c>
      <c r="I10" s="7" t="s">
        <v>92</v>
      </c>
      <c r="J10" s="7" t="s">
        <v>117</v>
      </c>
    </row>
    <row r="11" spans="1:10" ht="27" thickBot="1">
      <c r="A11" s="3"/>
      <c r="B11" s="8">
        <v>5</v>
      </c>
      <c r="C11" s="121"/>
      <c r="D11" s="59" t="s">
        <v>11</v>
      </c>
      <c r="E11" s="59" t="s">
        <v>9</v>
      </c>
      <c r="F11" s="45"/>
      <c r="G11" s="60">
        <v>20</v>
      </c>
      <c r="H11" s="60">
        <f t="shared" si="0"/>
        <v>0</v>
      </c>
      <c r="I11" s="9" t="s">
        <v>90</v>
      </c>
      <c r="J11" s="9" t="s">
        <v>118</v>
      </c>
    </row>
    <row r="12" spans="1:10" ht="35.1" customHeight="1" thickBot="1">
      <c r="A12" s="3"/>
      <c r="B12" s="13">
        <v>6</v>
      </c>
      <c r="C12" s="122"/>
      <c r="D12" s="63" t="s">
        <v>21</v>
      </c>
      <c r="E12" s="64" t="s">
        <v>10</v>
      </c>
      <c r="F12" s="46">
        <v>5.5</v>
      </c>
      <c r="G12" s="65">
        <v>10</v>
      </c>
      <c r="H12" s="65">
        <f t="shared" si="0"/>
        <v>0</v>
      </c>
      <c r="I12" s="4" t="s">
        <v>58</v>
      </c>
      <c r="J12" s="53" t="s">
        <v>119</v>
      </c>
    </row>
    <row r="13" spans="1:10" ht="90.75" customHeight="1" thickTop="1" thickBot="1">
      <c r="A13" s="3"/>
      <c r="B13" s="12">
        <v>7</v>
      </c>
      <c r="C13" s="123" t="s">
        <v>26</v>
      </c>
      <c r="D13" s="66" t="s">
        <v>22</v>
      </c>
      <c r="E13" s="66" t="s">
        <v>9</v>
      </c>
      <c r="F13" s="47"/>
      <c r="G13" s="67">
        <v>20</v>
      </c>
      <c r="H13" s="67">
        <f t="shared" si="0"/>
        <v>0</v>
      </c>
      <c r="I13" s="11" t="s">
        <v>111</v>
      </c>
      <c r="J13" s="21" t="s">
        <v>120</v>
      </c>
    </row>
    <row r="14" spans="1:10" ht="35.1" customHeight="1" thickBot="1">
      <c r="A14" s="3"/>
      <c r="B14" s="2">
        <v>8</v>
      </c>
      <c r="C14" s="124"/>
      <c r="D14" s="61" t="s">
        <v>38</v>
      </c>
      <c r="E14" s="61" t="s">
        <v>10</v>
      </c>
      <c r="F14" s="45"/>
      <c r="G14" s="62">
        <v>8</v>
      </c>
      <c r="H14" s="62">
        <f t="shared" si="0"/>
        <v>0</v>
      </c>
      <c r="I14" s="7" t="s">
        <v>57</v>
      </c>
      <c r="J14" s="7" t="s">
        <v>121</v>
      </c>
    </row>
    <row r="15" spans="1:10" ht="35.1" customHeight="1" thickBot="1">
      <c r="A15" s="3"/>
      <c r="B15" s="8">
        <v>9</v>
      </c>
      <c r="C15" s="124"/>
      <c r="D15" s="59" t="s">
        <v>39</v>
      </c>
      <c r="E15" s="59" t="s">
        <v>9</v>
      </c>
      <c r="F15" s="45">
        <v>3</v>
      </c>
      <c r="G15" s="60">
        <v>6</v>
      </c>
      <c r="H15" s="60">
        <f t="shared" si="0"/>
        <v>0</v>
      </c>
      <c r="I15" s="9" t="s">
        <v>54</v>
      </c>
      <c r="J15" s="9" t="s">
        <v>122</v>
      </c>
    </row>
    <row r="16" spans="1:10" ht="79.8" thickBot="1">
      <c r="A16" s="3"/>
      <c r="B16" s="13">
        <v>10</v>
      </c>
      <c r="C16" s="125"/>
      <c r="D16" s="63" t="s">
        <v>23</v>
      </c>
      <c r="E16" s="63" t="s">
        <v>9</v>
      </c>
      <c r="F16" s="48"/>
      <c r="G16" s="65">
        <v>25</v>
      </c>
      <c r="H16" s="65">
        <f t="shared" si="0"/>
        <v>0</v>
      </c>
      <c r="I16" s="14" t="s">
        <v>112</v>
      </c>
      <c r="J16" s="54" t="s">
        <v>123</v>
      </c>
    </row>
    <row r="17" spans="1:11" ht="40.799999999999997" thickTop="1" thickBot="1">
      <c r="A17" s="3"/>
      <c r="B17" s="15">
        <v>11</v>
      </c>
      <c r="C17" s="88" t="s">
        <v>41</v>
      </c>
      <c r="D17" s="68" t="s">
        <v>40</v>
      </c>
      <c r="E17" s="68" t="s">
        <v>9</v>
      </c>
      <c r="F17" s="49"/>
      <c r="G17" s="69">
        <v>17</v>
      </c>
      <c r="H17" s="69">
        <f t="shared" si="0"/>
        <v>0</v>
      </c>
      <c r="I17" s="16" t="s">
        <v>91</v>
      </c>
      <c r="J17" s="16" t="s">
        <v>124</v>
      </c>
    </row>
    <row r="18" spans="1:11" ht="65.25" customHeight="1" thickTop="1" thickBot="1">
      <c r="A18" s="3"/>
      <c r="B18" s="17">
        <v>12</v>
      </c>
      <c r="C18" s="123" t="s">
        <v>27</v>
      </c>
      <c r="D18" s="70" t="s">
        <v>55</v>
      </c>
      <c r="E18" s="70" t="s">
        <v>12</v>
      </c>
      <c r="F18" s="50"/>
      <c r="G18" s="71">
        <v>160</v>
      </c>
      <c r="H18" s="71">
        <f t="shared" si="0"/>
        <v>0</v>
      </c>
      <c r="I18" s="18" t="s">
        <v>100</v>
      </c>
      <c r="J18" s="55" t="s">
        <v>125</v>
      </c>
    </row>
    <row r="19" spans="1:11" ht="35.1" customHeight="1" thickBot="1">
      <c r="A19" s="3"/>
      <c r="B19" s="8">
        <v>13</v>
      </c>
      <c r="C19" s="124"/>
      <c r="D19" s="59" t="s">
        <v>25</v>
      </c>
      <c r="E19" s="59" t="s">
        <v>12</v>
      </c>
      <c r="F19" s="45"/>
      <c r="G19" s="60">
        <v>30</v>
      </c>
      <c r="H19" s="60">
        <f t="shared" si="0"/>
        <v>0</v>
      </c>
      <c r="I19" s="9" t="s">
        <v>99</v>
      </c>
      <c r="J19" s="9" t="s">
        <v>126</v>
      </c>
    </row>
    <row r="20" spans="1:11" ht="27" thickBot="1">
      <c r="A20" s="3"/>
      <c r="B20" s="2">
        <v>14</v>
      </c>
      <c r="C20" s="124"/>
      <c r="D20" s="61" t="s">
        <v>13</v>
      </c>
      <c r="E20" s="61" t="s">
        <v>12</v>
      </c>
      <c r="F20" s="45"/>
      <c r="G20" s="62">
        <v>25</v>
      </c>
      <c r="H20" s="62">
        <f t="shared" si="0"/>
        <v>0</v>
      </c>
      <c r="I20" s="7" t="s">
        <v>93</v>
      </c>
      <c r="J20" s="7" t="s">
        <v>127</v>
      </c>
    </row>
    <row r="21" spans="1:11" ht="35.1" customHeight="1" thickBot="1">
      <c r="A21" s="3"/>
      <c r="B21" s="19">
        <v>15</v>
      </c>
      <c r="C21" s="125"/>
      <c r="D21" s="72" t="s">
        <v>14</v>
      </c>
      <c r="E21" s="72" t="s">
        <v>12</v>
      </c>
      <c r="F21" s="48">
        <v>10</v>
      </c>
      <c r="G21" s="73">
        <v>25</v>
      </c>
      <c r="H21" s="73">
        <f t="shared" si="0"/>
        <v>0</v>
      </c>
      <c r="I21" s="10" t="s">
        <v>94</v>
      </c>
      <c r="J21" s="35" t="s">
        <v>128</v>
      </c>
    </row>
    <row r="22" spans="1:11" ht="65.25" customHeight="1" thickTop="1" thickBot="1">
      <c r="A22" s="3"/>
      <c r="B22" s="17">
        <v>16</v>
      </c>
      <c r="C22" s="126" t="s">
        <v>79</v>
      </c>
      <c r="D22" s="70" t="s">
        <v>76</v>
      </c>
      <c r="E22" s="70" t="s">
        <v>12</v>
      </c>
      <c r="F22" s="50"/>
      <c r="G22" s="71">
        <v>155</v>
      </c>
      <c r="H22" s="71">
        <f t="shared" si="0"/>
        <v>0</v>
      </c>
      <c r="I22" s="18" t="s">
        <v>101</v>
      </c>
      <c r="J22" s="18" t="s">
        <v>129</v>
      </c>
    </row>
    <row r="23" spans="1:11" ht="106.2" thickBot="1">
      <c r="A23" s="3"/>
      <c r="B23" s="8">
        <v>17</v>
      </c>
      <c r="C23" s="127"/>
      <c r="D23" s="59" t="s">
        <v>77</v>
      </c>
      <c r="E23" s="59" t="s">
        <v>12</v>
      </c>
      <c r="F23" s="45"/>
      <c r="G23" s="60">
        <v>155</v>
      </c>
      <c r="H23" s="60">
        <f t="shared" si="0"/>
        <v>0</v>
      </c>
      <c r="I23" s="9" t="s">
        <v>102</v>
      </c>
      <c r="J23" s="9" t="s">
        <v>130</v>
      </c>
    </row>
    <row r="24" spans="1:11" ht="40.200000000000003" thickBot="1">
      <c r="A24" s="3"/>
      <c r="B24" s="13">
        <v>18</v>
      </c>
      <c r="C24" s="128"/>
      <c r="D24" s="63" t="s">
        <v>15</v>
      </c>
      <c r="E24" s="63" t="s">
        <v>12</v>
      </c>
      <c r="F24" s="48"/>
      <c r="G24" s="65">
        <v>25</v>
      </c>
      <c r="H24" s="65">
        <f t="shared" si="0"/>
        <v>0</v>
      </c>
      <c r="I24" s="4" t="s">
        <v>56</v>
      </c>
      <c r="J24" s="4" t="s">
        <v>131</v>
      </c>
      <c r="K24" s="6"/>
    </row>
    <row r="25" spans="1:11" ht="35.25" customHeight="1" thickTop="1" thickBot="1">
      <c r="A25" s="3"/>
      <c r="B25" s="20">
        <v>19</v>
      </c>
      <c r="C25" s="129" t="s">
        <v>51</v>
      </c>
      <c r="D25" s="74" t="s">
        <v>50</v>
      </c>
      <c r="E25" s="74" t="s">
        <v>44</v>
      </c>
      <c r="F25" s="50"/>
      <c r="G25" s="75">
        <v>4</v>
      </c>
      <c r="H25" s="75">
        <f t="shared" si="0"/>
        <v>0</v>
      </c>
      <c r="I25" s="21" t="s">
        <v>59</v>
      </c>
      <c r="J25" s="21" t="s">
        <v>132</v>
      </c>
      <c r="K25" s="6"/>
    </row>
    <row r="26" spans="1:11" ht="35.25" customHeight="1" thickBot="1">
      <c r="A26" s="3"/>
      <c r="B26" s="36">
        <v>20</v>
      </c>
      <c r="C26" s="130"/>
      <c r="D26" s="76" t="s">
        <v>113</v>
      </c>
      <c r="E26" s="77" t="s">
        <v>44</v>
      </c>
      <c r="F26" s="51">
        <v>2</v>
      </c>
      <c r="G26" s="76">
        <v>5</v>
      </c>
      <c r="H26" s="76">
        <f t="shared" si="0"/>
        <v>0</v>
      </c>
      <c r="I26" s="37" t="s">
        <v>151</v>
      </c>
      <c r="J26" s="56" t="s">
        <v>131</v>
      </c>
      <c r="K26" s="6"/>
    </row>
    <row r="27" spans="1:11" ht="57" customHeight="1" thickTop="1" thickBot="1">
      <c r="A27" s="3"/>
      <c r="B27" s="15">
        <v>21</v>
      </c>
      <c r="C27" s="87" t="s">
        <v>45</v>
      </c>
      <c r="D27" s="68" t="s">
        <v>24</v>
      </c>
      <c r="E27" s="68" t="s">
        <v>12</v>
      </c>
      <c r="F27" s="52"/>
      <c r="G27" s="69">
        <v>30</v>
      </c>
      <c r="H27" s="69">
        <f t="shared" si="0"/>
        <v>0</v>
      </c>
      <c r="I27" s="16" t="s">
        <v>60</v>
      </c>
      <c r="J27" s="16" t="s">
        <v>133</v>
      </c>
      <c r="K27" s="6"/>
    </row>
    <row r="28" spans="1:11" ht="57" customHeight="1" thickTop="1" thickBot="1">
      <c r="A28" s="3"/>
      <c r="B28" s="38">
        <v>22</v>
      </c>
      <c r="C28" s="123" t="s">
        <v>16</v>
      </c>
      <c r="D28" s="78" t="s">
        <v>46</v>
      </c>
      <c r="E28" s="79" t="s">
        <v>10</v>
      </c>
      <c r="F28" s="50"/>
      <c r="G28" s="80">
        <v>90</v>
      </c>
      <c r="H28" s="80">
        <f t="shared" si="0"/>
        <v>0</v>
      </c>
      <c r="I28" s="39" t="s">
        <v>78</v>
      </c>
      <c r="J28" s="39" t="s">
        <v>134</v>
      </c>
      <c r="K28" s="6"/>
    </row>
    <row r="29" spans="1:11" ht="27" thickBot="1">
      <c r="A29" s="3"/>
      <c r="B29" s="12">
        <v>23</v>
      </c>
      <c r="C29" s="124"/>
      <c r="D29" s="59" t="s">
        <v>32</v>
      </c>
      <c r="E29" s="59" t="s">
        <v>12</v>
      </c>
      <c r="F29" s="45"/>
      <c r="G29" s="60">
        <v>80</v>
      </c>
      <c r="H29" s="60">
        <f t="shared" si="0"/>
        <v>0</v>
      </c>
      <c r="I29" s="9" t="s">
        <v>95</v>
      </c>
      <c r="J29" s="9" t="s">
        <v>135</v>
      </c>
    </row>
    <row r="30" spans="1:11" ht="40.200000000000003" thickBot="1">
      <c r="A30" s="3"/>
      <c r="B30" s="40">
        <v>24</v>
      </c>
      <c r="C30" s="124"/>
      <c r="D30" s="81" t="s">
        <v>28</v>
      </c>
      <c r="E30" s="81" t="s">
        <v>12</v>
      </c>
      <c r="F30" s="45"/>
      <c r="G30" s="82">
        <v>50</v>
      </c>
      <c r="H30" s="82">
        <f t="shared" si="0"/>
        <v>0</v>
      </c>
      <c r="I30" s="41" t="s">
        <v>96</v>
      </c>
      <c r="J30" s="41" t="s">
        <v>136</v>
      </c>
    </row>
    <row r="31" spans="1:11" ht="105.75" customHeight="1" thickBot="1">
      <c r="A31" s="3"/>
      <c r="B31" s="8">
        <v>25</v>
      </c>
      <c r="C31" s="124"/>
      <c r="D31" s="59" t="s">
        <v>29</v>
      </c>
      <c r="E31" s="59" t="s">
        <v>12</v>
      </c>
      <c r="F31" s="45"/>
      <c r="G31" s="60">
        <v>120</v>
      </c>
      <c r="H31" s="60">
        <f t="shared" si="0"/>
        <v>0</v>
      </c>
      <c r="I31" s="9" t="s">
        <v>103</v>
      </c>
      <c r="J31" s="35" t="s">
        <v>137</v>
      </c>
    </row>
    <row r="32" spans="1:11" ht="53.4" thickBot="1">
      <c r="A32" s="3"/>
      <c r="B32" s="40">
        <v>26</v>
      </c>
      <c r="C32" s="124"/>
      <c r="D32" s="81" t="s">
        <v>33</v>
      </c>
      <c r="E32" s="83" t="s">
        <v>10</v>
      </c>
      <c r="F32" s="45"/>
      <c r="G32" s="82">
        <v>15</v>
      </c>
      <c r="H32" s="82">
        <f t="shared" si="0"/>
        <v>0</v>
      </c>
      <c r="I32" s="41" t="s">
        <v>97</v>
      </c>
      <c r="J32" s="41" t="s">
        <v>138</v>
      </c>
    </row>
    <row r="33" spans="1:10" ht="53.4" thickBot="1">
      <c r="A33" s="3"/>
      <c r="B33" s="8">
        <v>27</v>
      </c>
      <c r="C33" s="124"/>
      <c r="D33" s="59" t="s">
        <v>34</v>
      </c>
      <c r="E33" s="84" t="s">
        <v>10</v>
      </c>
      <c r="F33" s="45"/>
      <c r="G33" s="60">
        <v>23</v>
      </c>
      <c r="H33" s="60">
        <f t="shared" si="0"/>
        <v>0</v>
      </c>
      <c r="I33" s="9" t="s">
        <v>98</v>
      </c>
      <c r="J33" s="9" t="s">
        <v>139</v>
      </c>
    </row>
    <row r="34" spans="1:10" ht="53.4" thickBot="1">
      <c r="A34" s="3"/>
      <c r="B34" s="40">
        <v>28</v>
      </c>
      <c r="C34" s="124"/>
      <c r="D34" s="81" t="s">
        <v>61</v>
      </c>
      <c r="E34" s="81" t="s">
        <v>12</v>
      </c>
      <c r="F34" s="45"/>
      <c r="G34" s="82">
        <v>15</v>
      </c>
      <c r="H34" s="82">
        <f t="shared" si="0"/>
        <v>0</v>
      </c>
      <c r="I34" s="41" t="s">
        <v>66</v>
      </c>
      <c r="J34" s="41" t="s">
        <v>140</v>
      </c>
    </row>
    <row r="35" spans="1:10" ht="40.200000000000003" thickBot="1">
      <c r="A35" s="3"/>
      <c r="B35" s="8">
        <v>29</v>
      </c>
      <c r="C35" s="124"/>
      <c r="D35" s="59" t="s">
        <v>72</v>
      </c>
      <c r="E35" s="59" t="s">
        <v>12</v>
      </c>
      <c r="F35" s="45"/>
      <c r="G35" s="60">
        <v>150</v>
      </c>
      <c r="H35" s="60">
        <f t="shared" si="0"/>
        <v>0</v>
      </c>
      <c r="I35" s="9" t="s">
        <v>73</v>
      </c>
      <c r="J35" s="9" t="s">
        <v>141</v>
      </c>
    </row>
    <row r="36" spans="1:10" ht="79.8" thickBot="1">
      <c r="A36" s="3"/>
      <c r="B36" s="36">
        <v>30</v>
      </c>
      <c r="C36" s="125"/>
      <c r="D36" s="85" t="s">
        <v>65</v>
      </c>
      <c r="E36" s="85" t="s">
        <v>12</v>
      </c>
      <c r="F36" s="48"/>
      <c r="G36" s="86">
        <v>140</v>
      </c>
      <c r="H36" s="86">
        <f t="shared" si="0"/>
        <v>0</v>
      </c>
      <c r="I36" s="37" t="s">
        <v>104</v>
      </c>
      <c r="J36" s="37" t="s">
        <v>142</v>
      </c>
    </row>
    <row r="37" spans="1:10" ht="65.25" customHeight="1" thickTop="1" thickBot="1">
      <c r="A37" s="3"/>
      <c r="B37" s="33">
        <v>31</v>
      </c>
      <c r="C37" s="126" t="s">
        <v>35</v>
      </c>
      <c r="D37" s="74" t="s">
        <v>36</v>
      </c>
      <c r="E37" s="74" t="s">
        <v>47</v>
      </c>
      <c r="F37" s="47"/>
      <c r="G37" s="75">
        <v>12</v>
      </c>
      <c r="H37" s="75">
        <f t="shared" si="0"/>
        <v>0</v>
      </c>
      <c r="I37" s="21" t="s">
        <v>67</v>
      </c>
      <c r="J37" s="21" t="s">
        <v>143</v>
      </c>
    </row>
    <row r="38" spans="1:10" ht="53.4" thickBot="1">
      <c r="A38" s="3"/>
      <c r="B38" s="42">
        <v>32</v>
      </c>
      <c r="C38" s="127"/>
      <c r="D38" s="81" t="s">
        <v>70</v>
      </c>
      <c r="E38" s="83" t="s">
        <v>10</v>
      </c>
      <c r="F38" s="45"/>
      <c r="G38" s="82">
        <v>6</v>
      </c>
      <c r="H38" s="82">
        <f t="shared" si="0"/>
        <v>0</v>
      </c>
      <c r="I38" s="41" t="s">
        <v>68</v>
      </c>
      <c r="J38" s="41" t="s">
        <v>144</v>
      </c>
    </row>
    <row r="39" spans="1:10" ht="35.1" customHeight="1" thickBot="1">
      <c r="A39" s="3"/>
      <c r="B39" s="34">
        <v>33</v>
      </c>
      <c r="C39" s="127"/>
      <c r="D39" s="59" t="s">
        <v>62</v>
      </c>
      <c r="E39" s="59" t="s">
        <v>63</v>
      </c>
      <c r="F39" s="45"/>
      <c r="G39" s="60">
        <v>75</v>
      </c>
      <c r="H39" s="60">
        <f t="shared" si="0"/>
        <v>0</v>
      </c>
      <c r="I39" s="9" t="s">
        <v>64</v>
      </c>
      <c r="J39" s="9" t="s">
        <v>145</v>
      </c>
    </row>
    <row r="40" spans="1:10" ht="93" thickBot="1">
      <c r="A40" s="3"/>
      <c r="B40" s="43">
        <v>34</v>
      </c>
      <c r="C40" s="127"/>
      <c r="D40" s="81" t="s">
        <v>37</v>
      </c>
      <c r="E40" s="81" t="s">
        <v>47</v>
      </c>
      <c r="F40" s="45"/>
      <c r="G40" s="82">
        <v>15</v>
      </c>
      <c r="H40" s="82">
        <f t="shared" si="0"/>
        <v>0</v>
      </c>
      <c r="I40" s="41" t="s">
        <v>69</v>
      </c>
      <c r="J40" s="41" t="s">
        <v>146</v>
      </c>
    </row>
    <row r="41" spans="1:10" ht="66.599999999999994" thickBot="1">
      <c r="A41" s="3"/>
      <c r="B41" s="33">
        <v>35</v>
      </c>
      <c r="C41" s="127"/>
      <c r="D41" s="59" t="s">
        <v>71</v>
      </c>
      <c r="E41" s="59" t="s">
        <v>12</v>
      </c>
      <c r="F41" s="45"/>
      <c r="G41" s="60">
        <v>150</v>
      </c>
      <c r="H41" s="60">
        <f t="shared" si="0"/>
        <v>0</v>
      </c>
      <c r="I41" s="9" t="s">
        <v>107</v>
      </c>
      <c r="J41" s="9" t="s">
        <v>147</v>
      </c>
    </row>
    <row r="42" spans="1:10" ht="35.25" customHeight="1" thickBot="1">
      <c r="A42" s="3"/>
      <c r="B42" s="44">
        <v>36</v>
      </c>
      <c r="C42" s="128"/>
      <c r="D42" s="85" t="s">
        <v>74</v>
      </c>
      <c r="E42" s="85" t="s">
        <v>12</v>
      </c>
      <c r="F42" s="45"/>
      <c r="G42" s="86">
        <v>20</v>
      </c>
      <c r="H42" s="86">
        <f t="shared" si="0"/>
        <v>0</v>
      </c>
      <c r="I42" s="37" t="s">
        <v>75</v>
      </c>
      <c r="J42" s="37" t="s">
        <v>148</v>
      </c>
    </row>
    <row r="43" spans="1:10" ht="40.799999999999997" thickTop="1" thickBot="1">
      <c r="B43" s="33">
        <v>37</v>
      </c>
      <c r="C43" s="89" t="s">
        <v>105</v>
      </c>
      <c r="D43" s="68" t="s">
        <v>108</v>
      </c>
      <c r="E43" s="68" t="s">
        <v>106</v>
      </c>
      <c r="F43" s="52">
        <v>6</v>
      </c>
      <c r="G43" s="69">
        <v>130</v>
      </c>
      <c r="H43" s="69">
        <f t="shared" si="0"/>
        <v>0</v>
      </c>
      <c r="I43" s="35" t="s">
        <v>109</v>
      </c>
      <c r="J43" s="57" t="s">
        <v>152</v>
      </c>
    </row>
    <row r="44" spans="1:10" ht="44.25" customHeight="1" thickTop="1" thickBot="1">
      <c r="B44" s="135" t="s">
        <v>17</v>
      </c>
      <c r="C44" s="136"/>
      <c r="D44" s="137"/>
      <c r="E44" s="138">
        <f>SUM(H7:H43)</f>
        <v>0</v>
      </c>
      <c r="F44" s="139"/>
      <c r="G44" s="139"/>
      <c r="H44" s="140"/>
      <c r="I44" s="111" t="s">
        <v>110</v>
      </c>
      <c r="J44" s="112"/>
    </row>
    <row r="45" spans="1:10" ht="45" customHeight="1" thickTop="1" thickBot="1">
      <c r="B45" s="113" t="s">
        <v>81</v>
      </c>
      <c r="C45" s="114"/>
      <c r="D45" s="115"/>
      <c r="E45" s="116">
        <f>E44*0.6</f>
        <v>0</v>
      </c>
      <c r="F45" s="117"/>
      <c r="G45" s="118"/>
      <c r="H45" s="58" t="s">
        <v>82</v>
      </c>
      <c r="I45" s="119">
        <f>E44*0.4</f>
        <v>0</v>
      </c>
      <c r="J45" s="120"/>
    </row>
    <row r="46" spans="1:10" ht="16.2" thickTop="1"/>
  </sheetData>
  <mergeCells count="21">
    <mergeCell ref="I44:J44"/>
    <mergeCell ref="B45:D45"/>
    <mergeCell ref="E45:G45"/>
    <mergeCell ref="I45:J45"/>
    <mergeCell ref="C7:C12"/>
    <mergeCell ref="C13:C16"/>
    <mergeCell ref="C18:C21"/>
    <mergeCell ref="C22:C24"/>
    <mergeCell ref="C25:C26"/>
    <mergeCell ref="C28:C36"/>
    <mergeCell ref="C37:C42"/>
    <mergeCell ref="B44:D44"/>
    <mergeCell ref="E44:H44"/>
    <mergeCell ref="B2:J2"/>
    <mergeCell ref="I3:J3"/>
    <mergeCell ref="B4:J4"/>
    <mergeCell ref="B5:B6"/>
    <mergeCell ref="C5:D5"/>
    <mergeCell ref="C6:D6"/>
    <mergeCell ref="B3:F3"/>
    <mergeCell ref="G3:H3"/>
  </mergeCells>
  <printOptions horizontalCentered="1" verticalCentered="1"/>
  <pageMargins left="0" right="0" top="0" bottom="0" header="0" footer="0"/>
  <pageSetup paperSize="9" scale="48" orientation="portrait" r:id="rId1"/>
  <rowBreaks count="1" manualBreakCount="1">
    <brk id="24" max="9" man="1"/>
  </rowBreaks>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election activeCell="G18" sqref="G18"/>
    </sheetView>
  </sheetViews>
  <sheetFormatPr defaultRowHeight="13.8"/>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election activeCell="E21" sqref="E21"/>
    </sheetView>
  </sheetViews>
  <sheetFormatPr defaultRowHeight="13.8"/>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rightToLeft="1" workbookViewId="0">
      <selection activeCell="H18" sqref="H18"/>
    </sheetView>
  </sheetViews>
  <sheetFormatPr defaultRowHeight="13.8"/>
  <sheetData/>
  <pageMargins left="0.7" right="0.7" top="0.75" bottom="0.75" header="0.3" footer="0.3"/>
  <customProperties>
    <customPr name="EpmWorksheetKeyString_GUID" r:id="rId1"/>
  </customProperties>
  <drawing r:id="rId1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rightToLeft="1" workbookViewId="0">
      <selection activeCell="H19" sqref="H19"/>
    </sheetView>
  </sheetViews>
  <sheetFormatPr defaultRowHeight="13.8"/>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rightToLeft="1" zoomScaleNormal="100" workbookViewId="0">
      <selection activeCell="B5" sqref="B5"/>
    </sheetView>
  </sheetViews>
  <sheetFormatPr defaultRowHeight="13.8"/>
  <cols>
    <col min="1" max="1" width="3.8984375" customWidth="1"/>
    <col min="2" max="2" width="28.296875" customWidth="1"/>
    <col min="3" max="3" width="11.296875" customWidth="1"/>
    <col min="4" max="4" width="35.69921875" customWidth="1"/>
    <col min="5" max="5" width="26.3984375" customWidth="1"/>
  </cols>
  <sheetData>
    <row r="1" spans="1:5" ht="14.4" thickBot="1"/>
    <row r="2" spans="1:5" ht="33" customHeight="1" thickBot="1">
      <c r="B2" s="24" t="s">
        <v>83</v>
      </c>
      <c r="C2" s="25"/>
      <c r="D2" s="25"/>
      <c r="E2" s="26"/>
    </row>
    <row r="3" spans="1:5" ht="18" thickTop="1">
      <c r="A3" s="32"/>
      <c r="B3" s="141" t="s">
        <v>84</v>
      </c>
      <c r="C3" s="30" t="s">
        <v>86</v>
      </c>
      <c r="D3" s="30"/>
      <c r="E3" s="143" t="s">
        <v>85</v>
      </c>
    </row>
    <row r="4" spans="1:5" ht="18" thickBot="1">
      <c r="A4" s="32"/>
      <c r="B4" s="142"/>
      <c r="C4" s="31" t="s">
        <v>87</v>
      </c>
      <c r="D4" s="31" t="s">
        <v>88</v>
      </c>
      <c r="E4" s="144"/>
    </row>
    <row r="5" spans="1:5" ht="45.75" customHeight="1" thickTop="1" thickBot="1">
      <c r="B5" s="27" t="e">
        <f>#REF!</f>
        <v>#REF!</v>
      </c>
      <c r="C5" s="28"/>
      <c r="D5" s="28" t="s">
        <v>153</v>
      </c>
      <c r="E5" s="29"/>
    </row>
    <row r="6" spans="1:5" ht="15">
      <c r="B6" s="23"/>
      <c r="C6" s="23"/>
      <c r="D6" s="23"/>
      <c r="E6" s="23"/>
    </row>
    <row r="7" spans="1:5" ht="15">
      <c r="B7" s="23"/>
      <c r="C7" s="23"/>
      <c r="D7" s="23"/>
      <c r="E7" s="23"/>
    </row>
    <row r="8" spans="1:5" ht="15">
      <c r="B8" s="23"/>
      <c r="C8" s="23"/>
      <c r="D8" s="23"/>
      <c r="E8" s="23"/>
    </row>
    <row r="9" spans="1:5" ht="15">
      <c r="B9" s="23"/>
      <c r="C9" s="23"/>
      <c r="D9" s="23"/>
      <c r="E9" s="23"/>
    </row>
    <row r="10" spans="1:5" ht="15">
      <c r="B10" s="23"/>
      <c r="C10" s="23"/>
      <c r="D10" s="23"/>
      <c r="E10" s="23"/>
    </row>
    <row r="11" spans="1:5" ht="15">
      <c r="B11" s="23"/>
      <c r="C11" s="23"/>
      <c r="D11" s="23"/>
      <c r="E11" s="23"/>
    </row>
    <row r="12" spans="1:5" ht="17.399999999999999">
      <c r="B12" s="22"/>
      <c r="C12" s="22"/>
      <c r="D12" s="22"/>
      <c r="E12" s="22"/>
    </row>
    <row r="13" spans="1:5" ht="17.399999999999999">
      <c r="B13" s="22"/>
      <c r="C13" s="22"/>
      <c r="D13" s="22"/>
      <c r="E13" s="22"/>
    </row>
    <row r="14" spans="1:5" ht="17.399999999999999">
      <c r="B14" s="22"/>
      <c r="C14" s="22"/>
      <c r="D14" s="22"/>
      <c r="E14" s="22"/>
    </row>
    <row r="15" spans="1:5" ht="17.399999999999999">
      <c r="B15" s="22"/>
      <c r="C15" s="22"/>
      <c r="D15" s="22"/>
      <c r="E15" s="22"/>
    </row>
  </sheetData>
  <mergeCells count="2">
    <mergeCell ref="B3:B4"/>
    <mergeCell ref="E3:E4"/>
  </mergeCells>
  <printOptions horizontalCentered="1"/>
  <pageMargins left="0" right="0" top="1" bottom="0" header="0.5" footer="0"/>
  <pageSetup paperSize="9" scale="80"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E9EA7FEDBC2B47B1BB5C1A5E1D6611" ma:contentTypeVersion="17" ma:contentTypeDescription="Create a new document." ma:contentTypeScope="" ma:versionID="5d390b9e31cab3c913f6315b6da75808">
  <xsd:schema xmlns:xsd="http://www.w3.org/2001/XMLSchema" xmlns:xs="http://www.w3.org/2001/XMLSchema" xmlns:p="http://schemas.microsoft.com/office/2006/metadata/properties" xmlns:ns3="ae0eac29-bff3-4a8c-bb5e-8697060638a2" xmlns:ns4="bcae0f81-df23-4fab-9ba2-367c4d4a590c" targetNamespace="http://schemas.microsoft.com/office/2006/metadata/properties" ma:root="true" ma:fieldsID="bd01a87fa795c8ff6d80afaf1d0f7222" ns3:_="" ns4:_="">
    <xsd:import namespace="ae0eac29-bff3-4a8c-bb5e-8697060638a2"/>
    <xsd:import namespace="bcae0f81-df23-4fab-9ba2-367c4d4a590c"/>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0eac29-bff3-4a8c-bb5e-8697060638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ae0f81-df23-4fab-9ba2-367c4d4a590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e0eac29-bff3-4a8c-bb5e-8697060638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808A01-A381-431B-A584-CA5B63CBE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0eac29-bff3-4a8c-bb5e-8697060638a2"/>
    <ds:schemaRef ds:uri="bcae0f81-df23-4fab-9ba2-367c4d4a5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833E5-B015-47D7-A11F-D35C87191AE5}">
  <ds:schemaRefs>
    <ds:schemaRef ds:uri="http://purl.org/dc/elements/1.1/"/>
    <ds:schemaRef ds:uri="http://purl.org/dc/dcmitype/"/>
    <ds:schemaRef ds:uri="ae0eac29-bff3-4a8c-bb5e-8697060638a2"/>
    <ds:schemaRef ds:uri="http://schemas.microsoft.com/office/2006/documentManagement/types"/>
    <ds:schemaRef ds:uri="http://schemas.microsoft.com/office/infopath/2007/PartnerControls"/>
    <ds:schemaRef ds:uri="http://purl.org/dc/terms/"/>
    <ds:schemaRef ds:uri="http://schemas.microsoft.com/office/2006/metadata/properties"/>
    <ds:schemaRef ds:uri="http://schemas.openxmlformats.org/package/2006/metadata/core-properties"/>
    <ds:schemaRef ds:uri="bcae0f81-df23-4fab-9ba2-367c4d4a590c"/>
    <ds:schemaRef ds:uri="http://www.w3.org/XML/1998/namespace"/>
  </ds:schemaRefs>
</ds:datastoreItem>
</file>

<file path=customXml/itemProps3.xml><?xml version="1.0" encoding="utf-8"?>
<ds:datastoreItem xmlns:ds="http://schemas.openxmlformats.org/officeDocument/2006/customXml" ds:itemID="{0F771EC2-F81B-4A8A-A059-DFB4F5061C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الكميات  </vt:lpstr>
      <vt:lpstr>المخطط</vt:lpstr>
      <vt:lpstr>الوثائق</vt:lpstr>
      <vt:lpstr>صور قبل الترميم</vt:lpstr>
      <vt:lpstr>صور بعد الترميم</vt:lpstr>
      <vt:lpstr>نسبة الإنجاز</vt:lpstr>
      <vt:lpstr>'الكميات  '!Print_Area</vt:lpstr>
      <vt:lpstr>'الكميات  '!Print_Titles</vt:lpstr>
    </vt:vector>
  </TitlesOfParts>
  <Company>UNRWA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ODEH, Mohammad</cp:lastModifiedBy>
  <cp:lastPrinted>2026-07-07T07:06:27Z</cp:lastPrinted>
  <dcterms:created xsi:type="dcterms:W3CDTF">2025-02-03T09:26:33Z</dcterms:created>
  <dcterms:modified xsi:type="dcterms:W3CDTF">2026-07-20T08:46:58Z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0x010100B2E9EA7FEDBC2B47B1BB5C1A5E1D6611</vt:lpwstr>
  </property>
</Properties>
</file>