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customProperty3.bin" ContentType="application/vnd.openxmlformats-officedocument.spreadsheetml.customProperty"/>
  <Override PartName="/xl/customProperty4.bin" ContentType="application/vnd.openxmlformats-officedocument.spreadsheetml.customProperty"/>
  <Override PartName="/xl/customProperty5.bin" ContentType="application/vnd.openxmlformats-officedocument.spreadsheetml.customProperty"/>
  <Override PartName="/xl/customProperty6.bin" ContentType="application/vnd.openxmlformats-officedocument.spreadsheetml.customProperty"/>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istrator\Downloads\Telegram Desktop\"/>
    </mc:Choice>
  </mc:AlternateContent>
  <xr:revisionPtr revIDLastSave="0" documentId="8_{D1D05A93-97F1-4870-8B62-32BC4B7ADE83}" xr6:coauthVersionLast="47" xr6:coauthVersionMax="47" xr10:uidLastSave="{00000000-0000-0000-0000-000000000000}"/>
  <bookViews>
    <workbookView xWindow="768" yWindow="768" windowWidth="17280" windowHeight="8964" xr2:uid="{00000000-000D-0000-FFFF-FFFF00000000}"/>
  </bookViews>
  <sheets>
    <sheet name="التقييم" sheetId="13" r:id="rIdEval99"/>
    <sheet name="الكميات  " sheetId="12" r:id="rId1"/>
    <sheet name="المخطط" sheetId="8" r:id="rId2"/>
    <sheet name="الوثائق" sheetId="3" r:id="rId3"/>
    <sheet name="صور قبل الترميم" sheetId="4" r:id="rId4"/>
    <sheet name="صور بعد الترميم" sheetId="5" r:id="rId5"/>
    <sheet name="نسبة الإنجاز" sheetId="10" r:id="rId6"/>
  </sheets>
  <definedNames>
    <definedName name="_xlnm.Print_Area" localSheetId="1">'الكميات  '!$A$2:$J$45</definedName>
    <definedName name="_xlnm.Print_Titles" localSheetId="1">'الكميات  '!$2:$6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 i="12" l="1"/>
  <c r="H42" i="12"/>
  <c r="H41" i="12"/>
  <c r="H40" i="12"/>
  <c r="H39" i="12"/>
  <c r="H38" i="12"/>
  <c r="H37" i="12"/>
  <c r="H36" i="12"/>
  <c r="H35" i="12"/>
  <c r="H34" i="12"/>
  <c r="H33" i="12"/>
  <c r="H32" i="12"/>
  <c r="H31" i="12"/>
  <c r="H30" i="12"/>
  <c r="H29" i="12"/>
  <c r="H28" i="12"/>
  <c r="H27" i="12"/>
  <c r="H26" i="12"/>
  <c r="H25" i="12"/>
  <c r="H24" i="12"/>
  <c r="H23" i="12"/>
  <c r="H22" i="12"/>
  <c r="H21" i="12"/>
  <c r="H20" i="12"/>
  <c r="H19" i="12"/>
  <c r="H18" i="12"/>
  <c r="H17" i="12"/>
  <c r="H16" i="12"/>
  <c r="H15" i="12"/>
  <c r="H14" i="12"/>
  <c r="H13" i="12"/>
  <c r="H12" i="12"/>
  <c r="H11" i="12"/>
  <c r="H10" i="12"/>
  <c r="H9" i="12"/>
  <c r="H8" i="12"/>
  <c r="H7" i="12"/>
  <c r="E44" i="12" l="1"/>
  <c r="E45" i="12" s="1"/>
  <c r="I45" i="12" l="1"/>
  <c r="B5" i="10" l="1"/>
</calcChain>
</file>

<file path=xl/sharedStrings.xml><?xml version="1.0" encoding="utf-8"?>
<sst xmlns="http://schemas.openxmlformats.org/spreadsheetml/2006/main" count="188" uniqueCount="158">
  <si>
    <t xml:space="preserve">The below table must be filled by a qualified engineer </t>
  </si>
  <si>
    <t xml:space="preserve">Type of damage  </t>
  </si>
  <si>
    <t xml:space="preserve">Unit  </t>
  </si>
  <si>
    <t xml:space="preserve">Quantity </t>
  </si>
  <si>
    <t xml:space="preserve">Estimated cost/$ </t>
  </si>
  <si>
    <t xml:space="preserve"> نوع الضرر</t>
  </si>
  <si>
    <t xml:space="preserve"> واحدة </t>
  </si>
  <si>
    <t xml:space="preserve"> الكمية</t>
  </si>
  <si>
    <t xml:space="preserve"> التكلفة التقديرية/ $</t>
  </si>
  <si>
    <t xml:space="preserve">M² </t>
  </si>
  <si>
    <t xml:space="preserve">MR </t>
  </si>
  <si>
    <t>طينة غراوت</t>
  </si>
  <si>
    <t xml:space="preserve">No </t>
  </si>
  <si>
    <t xml:space="preserve"> صيانة أبواب </t>
  </si>
  <si>
    <t xml:space="preserve"> صيانة نوافذ </t>
  </si>
  <si>
    <t xml:space="preserve"> صيانة </t>
  </si>
  <si>
    <t xml:space="preserve">أعمال الصحية  </t>
  </si>
  <si>
    <t>المجموع النهائي</t>
  </si>
  <si>
    <t>م</t>
  </si>
  <si>
    <t>بيتون مسلح</t>
  </si>
  <si>
    <t>بلوك</t>
  </si>
  <si>
    <t>مداخن</t>
  </si>
  <si>
    <t>بلاط</t>
  </si>
  <si>
    <t>سيراميك</t>
  </si>
  <si>
    <t>عزل جزئي</t>
  </si>
  <si>
    <t>ملابن</t>
  </si>
  <si>
    <t xml:space="preserve"> الأرضية والجدران</t>
  </si>
  <si>
    <t>أعمال النجارة</t>
  </si>
  <si>
    <t>مرحاض عربي</t>
  </si>
  <si>
    <t>مرحاض فرنجي</t>
  </si>
  <si>
    <t xml:space="preserve">        Bill of Quantités  فاتورة الكميات</t>
  </si>
  <si>
    <t xml:space="preserve">  طينة اسمنتية  </t>
  </si>
  <si>
    <t>مغسلة</t>
  </si>
  <si>
    <t>سواد مالحة</t>
  </si>
  <si>
    <t>سواد حلوة</t>
  </si>
  <si>
    <t>أعمال الكهرباء</t>
  </si>
  <si>
    <t>سواد كهرباء</t>
  </si>
  <si>
    <t>بياض كهرباء</t>
  </si>
  <si>
    <t>نعلة بلاط</t>
  </si>
  <si>
    <t>جلي بلاط</t>
  </si>
  <si>
    <t xml:space="preserve"> الزجاج </t>
  </si>
  <si>
    <t>الزجاج</t>
  </si>
  <si>
    <t>M3</t>
  </si>
  <si>
    <t>تدعيم معدني</t>
  </si>
  <si>
    <t>kg</t>
  </si>
  <si>
    <t xml:space="preserve">العزل </t>
  </si>
  <si>
    <t>مجلى رخام</t>
  </si>
  <si>
    <t>point</t>
  </si>
  <si>
    <t>الوصف</t>
  </si>
  <si>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</si>
  <si>
    <t>باب معدني حديد</t>
  </si>
  <si>
    <t>أعمال الحديد</t>
  </si>
  <si>
    <t>Description</t>
  </si>
  <si>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</si>
  <si>
    <t>جلي بلاط بشكل جيد .</t>
  </si>
  <si>
    <t xml:space="preserve"> أبواب خشبية </t>
  </si>
  <si>
    <t>استبدال القطع التالفة ( درفة أو ملبن)
استبدال الفيبر اللازم بالسماكة و اللون حسب الموجود مع الجوانات
استبدال الاكسسوارات التالفة (مسكة , مفصلات ......)</t>
  </si>
  <si>
    <t>نعلة بلاط أو سيراميك بارتفاع 10سم مع روبة جيدة</t>
  </si>
  <si>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</si>
  <si>
    <t>تصنيع وتركيب أبواب معدنية مفردة أو مزدوجة في موضعها بإطار مناسب ، وصفائح معدنية بسمك2 مم ،  وكافة الإكسوارات اللازمة مع الدهان .</t>
  </si>
  <si>
    <r>
      <t xml:space="preserve"> ملئ الفجوات والفراغات والثقوب الموجودة في السطح بمونة اسمنتية مناسبة حسب ما يراه جهاز الإشراف .
-	طلاء السطح وجهين من</t>
    </r>
    <r>
      <rPr>
        <b/>
        <sz val="10"/>
        <rFont val="Times New Roman"/>
        <family val="1"/>
      </rPr>
      <t xml:space="preserve"> العزل ذو الأساس الإسمنتي حسب توجيهات المهندس المشرف </t>
    </r>
  </si>
  <si>
    <t xml:space="preserve">بياض صحية </t>
  </si>
  <si>
    <t xml:space="preserve">لوحة قواطع </t>
  </si>
  <si>
    <t>JOP</t>
  </si>
  <si>
    <t>تقديم وتركيب (لوحة توزيع، تتسع ل 5 قواطع كهربائية , قاطع كهربائي ثنائي أو أحادي قياسات مناسبة ) مع كل الاعمال والمواد اللازمة.</t>
  </si>
  <si>
    <t>خزان ماء</t>
  </si>
  <si>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</si>
  <si>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</si>
  <si>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</si>
  <si>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</si>
  <si>
    <t xml:space="preserve">كبل تغذيةكهربائي </t>
  </si>
  <si>
    <t>سخان كهربائي</t>
  </si>
  <si>
    <t>مضخة مياه</t>
  </si>
  <si>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</si>
  <si>
    <t>شفاط كهربائي</t>
  </si>
  <si>
    <t>تزويد وتركيب مروحة طرد 6" مع الاسلاك والقاطع و الكبسة وكل مايلزم  ووصله للخارج  .</t>
  </si>
  <si>
    <t xml:space="preserve"> أبواب ألمنيوم</t>
  </si>
  <si>
    <t xml:space="preserve"> نوافذ ألمنيوم</t>
  </si>
  <si>
    <r>
      <t>تقديم وتركيب حوض مجلى ستانلس ستيل بقياس مناسب ,مع التصاق جيد بالرخام .لزوايا اتقديم وتركيب رخام من نوع جيد بعرض 60 سم مع  رخام واقف وحبسة ماء من الرخام ,</t>
    </r>
    <r>
      <rPr>
        <b/>
        <sz val="10"/>
        <rFont val="Times New Roman"/>
        <family val="1"/>
      </rPr>
      <t>مع الخلاط و أنبوب صرف مرن أنش ونصف ) مثبت في مكان التركيب وموصول مع الشبكة مع كل مايلزم من اعمال، سيليكون  مضاد للبكتيريا لملئ الفراغات، مواد واكسسوارات.</t>
    </r>
  </si>
  <si>
    <t>أعمال الألمنيوم</t>
  </si>
  <si>
    <t>ملحق رقم  "1 "</t>
  </si>
  <si>
    <t>الدفعة الأولى</t>
  </si>
  <si>
    <t>الدفعة الثانية</t>
  </si>
  <si>
    <t>التقرير النهائي للاجىء</t>
  </si>
  <si>
    <t>الإسم</t>
  </si>
  <si>
    <t>ملاحظات</t>
  </si>
  <si>
    <t>الإنجاز</t>
  </si>
  <si>
    <t>النسبة %</t>
  </si>
  <si>
    <t>التقرير</t>
  </si>
  <si>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</si>
  <si>
    <t xml:space="preserve"> طينة غراوت المناسبة لمعالجة التشققات في الجدران و الأعمدة  والجسور و الأسقف تستخدم  بعد تنطيف السطح بشكل كامل .</t>
  </si>
  <si>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</si>
  <si>
    <r>
      <t xml:space="preserve">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t>
    </r>
    <r>
      <rPr>
        <b/>
        <sz val="10"/>
        <rFont val="Times New Roman"/>
        <family val="1"/>
      </rPr>
      <t>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r>
  </si>
  <si>
    <t>استبدال القطع الخشبية التالفة (ضمن الدرفة الخشبية أو الملبن ) ,واستبدال المفصلات والمسكات والغال التالفين حسب توجيهات المهندس المشرف</t>
  </si>
  <si>
    <t>استبدال القطع الخشبية التالفة (ضمن الدرفة الخشبية أو الملبن ) ,واستبدال المفصلات والمسكات  التالفين  حسب توجيهات المهندس المشرف</t>
  </si>
  <si>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</si>
  <si>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</si>
  <si>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</si>
  <si>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</si>
  <si>
    <t>الملابن خالي من العقد النافذة , و تركيب ثلاث شرمات من كل جهة للملبن.</t>
  </si>
  <si>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</si>
  <si>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</si>
  <si>
    <r>
      <t xml:space="preserve">تقديم وتركيب نافذة ألمنيوم مطلي بالأنودة سحاب صناعة محلية , مع سكة عريضة
الزجاج مناسب بسماكة لا تقل عن </t>
    </r>
    <r>
      <rPr>
        <b/>
        <sz val="10"/>
        <rFont val="Times New Roman"/>
        <family val="1"/>
      </rPr>
      <t>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r>
  </si>
  <si>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</si>
  <si>
    <r>
      <t xml:space="preserve">تقديم و تركيب خزان مياه من البلاستيك PVC من 3 طبقات سعة 1000 ليتر , محلي الصنع, </t>
    </r>
    <r>
      <rPr>
        <b/>
        <sz val="10"/>
        <rFont val="Times New Roman"/>
        <family val="1"/>
      </rPr>
      <t xml:space="preserve">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r>
  </si>
  <si>
    <t>أعمال الدهان</t>
  </si>
  <si>
    <t>room</t>
  </si>
  <si>
    <r>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t>
    </r>
    <r>
      <rPr>
        <b/>
        <sz val="10"/>
        <rFont val="Arial"/>
        <family val="2"/>
        <scheme val="minor"/>
      </rPr>
      <t xml:space="preserve"> </t>
    </r>
    <r>
      <rPr>
        <b/>
        <sz val="10"/>
        <rFont val="Times New Roman"/>
        <family val="1"/>
      </rPr>
      <t>يركب على مدخل المياه الباردة
*مع كل مايلزم من سكر حماية واكسسوارات حديد (نقاصات، محولات، اكواع، تيهات، سدات...</t>
    </r>
  </si>
  <si>
    <t xml:space="preserve">دهان </t>
  </si>
  <si>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</si>
  <si>
    <t xml:space="preserve">ملاحظة :بالنسبة لجميع المواد يتم استخدام المواد الأساسية ذات الجودة القياسية المتاحة في السوق المحلية </t>
  </si>
  <si>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</si>
  <si>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</si>
  <si>
    <t>صيانة حديد</t>
  </si>
  <si>
    <t>تدعيم العناصر الانشائية للحفاظ على سلامة السكان</t>
  </si>
  <si>
    <t>تدعيم العناصر الانشائية  للحفاظ على سلامة السكان</t>
  </si>
  <si>
    <t>للضرورات المعمارية و إغلاق فتحات الجدران بسبب الحرب و للحفاظ على خصوصية المنزل</t>
  </si>
  <si>
    <t>لمعالجة التشققات و الجدران المتصدعة و ملابن الأبواب و ضمان السلامة الصحية للسكان كون البلوك مرتع للحشرات و البكتريا</t>
  </si>
  <si>
    <t>لعلاج تسلخات الحديد في العناصر الإنشائية و ضمان عدم سقوط الطينة المتصدعة على رؤوس السكان</t>
  </si>
  <si>
    <t>كون مدافئ المازوت هي الوسيلة المتاحة للتدفئة بسبب عدم توفر الكهربا</t>
  </si>
  <si>
    <t>استبدال البلاط المحروق بسبب هشاشته و نفوذيته العالية للماء.</t>
  </si>
  <si>
    <t>لمنع تسرب الماء من مكان التقاء البلاط مع الجدران</t>
  </si>
  <si>
    <t>امن أجل إزالة الطبقة التي تعد مرتع للحشرات و البكتريا</t>
  </si>
  <si>
    <t>ضمان السلامة الصحية للسكان و معالجة  رطوبة الجدران التي تؤثر على الجهاز التنفسي</t>
  </si>
  <si>
    <t>استبدال الزجاج المكسور و هو مصدر أذى للسكان</t>
  </si>
  <si>
    <t>استبدال الأبواب ذات الحالة السيئة و الحفاظ على الخصوصية داخل المنزل و تأمين الحماية</t>
  </si>
  <si>
    <t>ضرورية لتركيب الأبواب</t>
  </si>
  <si>
    <t>إعادة وظيفة الباب كاملة</t>
  </si>
  <si>
    <t>إعادة وظيفة النافذة كاملة</t>
  </si>
  <si>
    <t>الحفاظ على خصوصية الحمامات و المطبخ ولأن الألمنيوم مقاوم للماء و الرطوبة</t>
  </si>
  <si>
    <t>تحقيق الحماية الصحية و الخصوصية للمنزل</t>
  </si>
  <si>
    <t>إعادة وظيفة العنصر كاملة</t>
  </si>
  <si>
    <t>حماية مدخل المنزل الخارجي و النوافذ في المنازل الأرضية من السرقة</t>
  </si>
  <si>
    <t>لحماية بيتون بلاطة السقف من التشققات وانهيار طبقات الطينة الاسمنتية الثلاث علة رؤوس السكان</t>
  </si>
  <si>
    <t>اصلاح المجلى المكسور و استبدال مجلى الرخام ب مجلى استانلس صحي كون مجلى الرخام مرتع للحشرات و البكتريا</t>
  </si>
  <si>
    <t>لضرورة اسخدام المغسلة</t>
  </si>
  <si>
    <t>لضرورة استخدام المرحاض العربي</t>
  </si>
  <si>
    <t>لضرورة استخدام المرحاض الفرنجي بالأخص بالمنازل التي تأوي عجزة أو كبار بالسن</t>
  </si>
  <si>
    <t>معالجة و اصلاح أو استبدال قساطل الصرف الصحي القديمة و المتهالكة لتأثيرها السلبي على البيئة الصحة العامة و لإضرارها بالعناصر الإنشائية</t>
  </si>
  <si>
    <t>اصلاح أو استبدال الأنابيب القديمة و المتهالكة و الصدئة لضررها على صحة السكان بسبب الرطوبة و لاضرارها بالعناصر الإنشائية للبناء</t>
  </si>
  <si>
    <t>استبدال البياضات القديمة و المتهالكة للحد من هدر المياه</t>
  </si>
  <si>
    <t>لحاجة مضخة المياه في حال كانت المياه لا تصعد إلى الخزانات و ذلك من أجل توفير المياه اللازمة للاستهلاك اليومي للسكان</t>
  </si>
  <si>
    <t>استبدال الخزانات المعدنية المهترئة بالصدأ كون الصدأ مكان لتجمع البكتريا و الجراثيم</t>
  </si>
  <si>
    <t>استبدال الشبكات و الأسلاك الداخلية المتهالكة لحماية المنازل من الحرائق بسبب الماس الكهربائي</t>
  </si>
  <si>
    <t>إيصال الكهرباء من الشبكة إلى المنزل</t>
  </si>
  <si>
    <t>لحماية المنزل من الحرائق و الأضرار التي يمكن أن يتسبب بها الماس الكهربائي</t>
  </si>
  <si>
    <t>لتتمة أعمال سواد الكهرباء السابقة وانارة المنزل</t>
  </si>
  <si>
    <t>لتأمين المياه الساخنة الضرورية للنظافة الشخصية</t>
  </si>
  <si>
    <t>لطرد الروائح الكريهة من المطبخ و الحمام</t>
  </si>
  <si>
    <t>Reason for intervention</t>
  </si>
  <si>
    <t>سبب التدخل</t>
  </si>
  <si>
    <t>استبدال القطع التالفة ( درفة أو ملبن)
استبدال الزجاج اللازم بالسماكة و اللون حسب الموجود مع الجوانات
استبدال الاكسسوارات التالفة (مسكة , مفصلات ......)</t>
  </si>
  <si>
    <t xml:space="preserve">لإزالة آثار الحريق  بما فيها من تشققات واهتراء وروائح ودخان  </t>
  </si>
  <si>
    <t>إضافة أعمال دهان وبعض أعمال السيراميك</t>
  </si>
  <si>
    <t>أعمال   هيكلية</t>
  </si>
  <si>
    <t xml:space="preserve">السعر </t>
  </si>
  <si>
    <t>اسم المستفيد</t>
  </si>
  <si>
    <t>the price</t>
  </si>
</sst>
</file>

<file path=xl/styles.xml><?xml version="1.0" encoding="utf-8"?>
<styleSheet xmlns="http://schemas.openxmlformats.org/spreadsheetml/2006/main" xmlns:ns1="http://schemas.openxmlformats.org/markup-compatibility/2006" xmlns:ns2="http://schemas.microsoft.com/office/spreadsheetml/2014/revision" xmlns:ns3="http://schemas.microsoft.com/office/spreadsheetml/2009/9/main" xmlns:ns4="http://schemas.microsoft.com/office/spreadsheetml/2010/11/main" ns1:Ignorable="x14ac x16r2 xr">
  <fonts count="29">
    <font>
      <sz val="11"/>
      <color theme="1"/>
      <name val="Arial"/>
      <family val="2"/>
      <scheme val="minor"/>
    </font>
    <font>
      <sz val="11"/>
      <color theme="1"/>
      <name val="Arial"/>
      <family val="2"/>
      <scheme val="minor"/>
    </font>
    <font>
      <b/>
      <sz val="12"/>
      <color theme="1"/>
      <name val="Arial"/>
      <family val="2"/>
      <scheme val="minor"/>
    </font>
    <font>
      <sz val="14"/>
      <color theme="1"/>
      <name val="Arial"/>
      <family val="2"/>
      <scheme val="minor"/>
    </font>
    <font>
      <sz val="10"/>
      <name val="Century Gothic"/>
      <family val="2"/>
    </font>
    <font>
      <b/>
      <sz val="12"/>
      <color rgb="FF000000"/>
      <name val="Arial"/>
      <family val="2"/>
      <scheme val="minor"/>
    </font>
    <font>
      <b/>
      <sz val="12"/>
      <name val="Arial"/>
      <family val="2"/>
      <scheme val="minor"/>
    </font>
    <font>
      <b/>
      <sz val="10"/>
      <color rgb="FF000000"/>
      <name val="Arial"/>
      <family val="2"/>
      <scheme val="minor"/>
    </font>
    <font>
      <b/>
      <sz val="10"/>
      <name val="Times New Roman"/>
      <family val="1"/>
    </font>
    <font>
      <b/>
      <sz val="10"/>
      <name val="Arial"/>
      <family val="2"/>
      <scheme val="minor"/>
    </font>
    <font>
      <b/>
      <sz val="14"/>
      <color rgb="FF000000"/>
      <name val="Arial"/>
      <family val="2"/>
      <scheme val="minor"/>
    </font>
    <font>
      <sz val="12"/>
      <color theme="1"/>
      <name val="Arial"/>
      <family val="2"/>
      <scheme val="minor"/>
    </font>
    <font>
      <b/>
      <sz val="16"/>
      <color rgb="FF000000"/>
      <name val="Arial"/>
      <family val="2"/>
      <scheme val="minor"/>
    </font>
    <font>
      <b/>
      <sz val="16"/>
      <name val="Led Italic Font"/>
      <charset val="178"/>
    </font>
    <font>
      <b/>
      <sz val="16"/>
      <color rgb="FF000000"/>
      <name val="Led Italic Font"/>
      <charset val="178"/>
    </font>
    <font>
      <b/>
      <sz val="14"/>
      <color rgb="FF000000"/>
      <name val="Led Italic Font"/>
      <charset val="178"/>
    </font>
    <font>
      <b/>
      <sz val="12"/>
      <color rgb="FF000000"/>
      <name val="Led Italic Font"/>
      <charset val="178"/>
    </font>
    <font>
      <b/>
      <sz val="14"/>
      <name val="Led Italic Font"/>
      <charset val="178"/>
    </font>
    <font>
      <b/>
      <sz val="18"/>
      <name val="Andalus"/>
      <family val="1"/>
    </font>
    <font>
      <b/>
      <sz val="16"/>
      <color indexed="10"/>
      <name val="Arial"/>
      <family val="2"/>
      <scheme val="minor"/>
    </font>
    <font>
      <b/>
      <i/>
      <sz val="14"/>
      <color rgb="FF000000"/>
      <name val="Arial"/>
      <family val="2"/>
      <scheme val="minor"/>
    </font>
    <font>
      <b/>
      <sz val="16"/>
      <color theme="1"/>
      <name val="Arial"/>
      <family val="2"/>
      <scheme val="minor"/>
    </font>
    <font>
      <b/>
      <i/>
      <sz val="16"/>
      <color rgb="FF000000"/>
      <name val="Arial"/>
      <family val="2"/>
      <scheme val="minor"/>
    </font>
    <font>
      <name val="Calibri"/>
      <family val="2"/>
      <color theme="1"/>
      <sz val="11"/>
      <scheme val="minor"/>
    </font>
    <font>
      <b val="1"/>
      <sz val="14"/>
    </font>
    <font>
      <b val="1"/>
      <sz val="11"/>
    </font>
    <font>
      <sz val="11"/>
    </font>
    <font>
      <sz val="10"/>
    </font>
    <font>
      <i val="1"/>
      <sz val="9"/>
    </font>
  </fonts>
  <fills count="1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tint="0.79998168889431442"/>
        <bgColor indexed="65"/>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79998168889431442"/>
        <bgColor indexed="64"/>
      </patternFill>
    </fill>
    <fill>
      <patternFill/>
    </fill>
    <fill>
      <patternFill patternType="gray125"/>
    </fill>
    <fill>
      <patternFill patternType="solid">
        <fgColor rgb="00FFF6D9"/>
      </patternFill>
    </fill>
    <fill>
      <patternFill patternType="solid">
        <fgColor rgb="00DCE9EF"/>
      </patternFill>
    </fill>
  </fills>
  <borders count="60">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
      <left/>
      <right/>
      <top/>
      <bottom/>
      <diagonal/>
    </border>
    <border>
      <left style="thin">
        <color rgb="00999999"/>
      </left>
      <right style="thin">
        <color rgb="00999999"/>
      </right>
      <top style="thin">
        <color rgb="00999999"/>
      </top>
      <bottom style="thin">
        <color rgb="00999999"/>
      </bottom>
    </border>
  </borders>
  <cellStyleXfs count="4">
    <xf numFmtId="0" fontId="0" fillId="0" borderId="0"/>
    <xf numFmtId="0" fontId="1" fillId="0" borderId="0"/>
    <xf numFmtId="0" fontId="4" fillId="0" borderId="0"/>
    <xf numFmtId="0" fontId="1" fillId="7" borderId="0" applyNumberFormat="0" applyBorder="0" applyAlignment="0" applyProtection="0"/>
  </cellStyleXfs>
  <cellXfs count="160">
    <xf numFmtId="0" fontId="0" fillId="0" borderId="0" xfId="0"/>
    <xf numFmtId="0" fontId="6" fillId="0" borderId="0" xfId="2" applyFont="1" applyAlignment="1">
      <alignment horizontal="center" vertical="center"/>
    </xf>
    <xf numFmtId="0" fontId="6" fillId="3" borderId="8" xfId="2" applyFont="1" applyFill="1" applyBorder="1" applyAlignment="1">
      <alignment horizontal="center" vertical="center"/>
    </xf>
    <xf numFmtId="0" fontId="6" fillId="0" borderId="4" xfId="2" applyFont="1" applyBorder="1" applyAlignment="1">
      <alignment horizontal="center" vertical="center"/>
    </xf>
    <xf numFmtId="0" fontId="7" fillId="3" borderId="14" xfId="1" applyFont="1" applyFill="1" applyBorder="1" applyAlignment="1">
      <alignment horizontal="right" vertical="center" wrapText="1"/>
    </xf>
    <xf numFmtId="0" fontId="6" fillId="0" borderId="0" xfId="2" applyFont="1" applyAlignment="1">
      <alignment horizontal="right" vertical="center"/>
    </xf>
    <xf numFmtId="0" fontId="7" fillId="0" borderId="0" xfId="1" applyFont="1" applyAlignment="1">
      <alignment vertical="center" wrapText="1"/>
    </xf>
    <xf numFmtId="0" fontId="7" fillId="3" borderId="15" xfId="1" applyFont="1" applyFill="1" applyBorder="1" applyAlignment="1">
      <alignment horizontal="right" vertical="center" wrapText="1"/>
    </xf>
    <xf numFmtId="0" fontId="6" fillId="2" borderId="8" xfId="2" applyFont="1" applyFill="1" applyBorder="1" applyAlignment="1">
      <alignment horizontal="center" vertical="center"/>
    </xf>
    <xf numFmtId="0" fontId="7" fillId="2" borderId="15" xfId="1" applyFont="1" applyFill="1" applyBorder="1" applyAlignment="1">
      <alignment horizontal="right" vertical="center" wrapText="1"/>
    </xf>
    <xf numFmtId="0" fontId="7" fillId="2" borderId="14" xfId="1" applyFont="1" applyFill="1" applyBorder="1" applyAlignment="1">
      <alignment horizontal="right" vertical="center" wrapText="1"/>
    </xf>
    <xf numFmtId="0" fontId="7" fillId="2" borderId="17" xfId="1" applyFont="1" applyFill="1" applyBorder="1" applyAlignment="1">
      <alignment horizontal="right" vertical="center" wrapText="1"/>
    </xf>
    <xf numFmtId="0" fontId="6" fillId="2" borderId="18" xfId="2" applyFont="1" applyFill="1" applyBorder="1" applyAlignment="1">
      <alignment horizontal="center" vertical="center"/>
    </xf>
    <xf numFmtId="0" fontId="6" fillId="3" borderId="22" xfId="2" applyFont="1" applyFill="1" applyBorder="1" applyAlignment="1">
      <alignment horizontal="center" vertical="center"/>
    </xf>
    <xf numFmtId="0" fontId="8" fillId="3" borderId="14" xfId="1" applyFont="1" applyFill="1" applyBorder="1" applyAlignment="1">
      <alignment horizontal="right" vertical="center" wrapText="1"/>
    </xf>
    <xf numFmtId="0" fontId="6" fillId="2" borderId="9" xfId="2" applyFont="1" applyFill="1" applyBorder="1" applyAlignment="1">
      <alignment horizontal="center" vertical="center"/>
    </xf>
    <xf numFmtId="0" fontId="7" fillId="2" borderId="16" xfId="1" applyFont="1" applyFill="1" applyBorder="1" applyAlignment="1">
      <alignment horizontal="right" vertical="center" wrapText="1"/>
    </xf>
    <xf numFmtId="0" fontId="6" fillId="3" borderId="23" xfId="2" applyFont="1" applyFill="1" applyBorder="1" applyAlignment="1">
      <alignment horizontal="center" vertical="center"/>
    </xf>
    <xf numFmtId="0" fontId="7" fillId="3" borderId="26" xfId="1" applyFont="1" applyFill="1" applyBorder="1" applyAlignment="1">
      <alignment horizontal="right" vertical="center" wrapText="1"/>
    </xf>
    <xf numFmtId="0" fontId="6" fillId="2" borderId="22" xfId="2" applyFont="1" applyFill="1" applyBorder="1" applyAlignment="1">
      <alignment horizontal="center" vertical="center"/>
    </xf>
    <xf numFmtId="0" fontId="6" fillId="2" borderId="23" xfId="2" applyFont="1" applyFill="1" applyBorder="1" applyAlignment="1">
      <alignment horizontal="center" vertical="center"/>
    </xf>
    <xf numFmtId="0" fontId="7" fillId="2" borderId="26" xfId="1" applyFont="1" applyFill="1" applyBorder="1" applyAlignment="1">
      <alignment horizontal="right" vertical="center" wrapText="1"/>
    </xf>
    <xf numFmtId="0" fontId="3" fillId="0" borderId="0" xfId="0" applyFont="1"/>
    <xf numFmtId="0" fontId="11" fillId="0" borderId="0" xfId="0" applyFont="1"/>
    <xf numFmtId="0" fontId="3" fillId="6" borderId="29" xfId="0" applyFont="1" applyFill="1" applyBorder="1" applyAlignment="1">
      <alignment horizontal="centerContinuous" vertical="center"/>
    </xf>
    <xf numFmtId="0" fontId="3" fillId="6" borderId="30" xfId="0" applyFont="1" applyFill="1" applyBorder="1" applyAlignment="1">
      <alignment horizontal="centerContinuous" vertical="center"/>
    </xf>
    <xf numFmtId="0" fontId="3" fillId="6" borderId="31" xfId="0" applyFont="1" applyFill="1" applyBorder="1" applyAlignment="1">
      <alignment horizontal="centerContinuous"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3" fillId="12" borderId="35" xfId="0" applyFont="1" applyFill="1" applyBorder="1" applyAlignment="1">
      <alignment horizontal="centerContinuous" vertical="center"/>
    </xf>
    <xf numFmtId="0" fontId="3" fillId="12" borderId="36" xfId="0" applyFont="1" applyFill="1" applyBorder="1" applyAlignment="1">
      <alignment horizontal="center" vertical="center"/>
    </xf>
    <xf numFmtId="0" fontId="0" fillId="0" borderId="39" xfId="0" applyBorder="1"/>
    <xf numFmtId="0" fontId="6" fillId="2" borderId="27" xfId="2" applyFont="1" applyFill="1" applyBorder="1" applyAlignment="1">
      <alignment horizontal="center" vertical="center"/>
    </xf>
    <xf numFmtId="0" fontId="6" fillId="2" borderId="43" xfId="2" applyFont="1" applyFill="1" applyBorder="1" applyAlignment="1">
      <alignment horizontal="center" vertical="center"/>
    </xf>
    <xf numFmtId="0" fontId="7" fillId="2" borderId="13" xfId="1" applyFont="1" applyFill="1" applyBorder="1" applyAlignment="1">
      <alignment horizontal="right" vertical="center" wrapText="1"/>
    </xf>
    <xf numFmtId="0" fontId="6" fillId="0" borderId="42" xfId="2" applyFont="1" applyBorder="1" applyAlignment="1">
      <alignment horizontal="center" vertical="center"/>
    </xf>
    <xf numFmtId="0" fontId="7" fillId="0" borderId="14" xfId="1" applyFont="1" applyBorder="1" applyAlignment="1">
      <alignment horizontal="right" vertical="center" wrapText="1"/>
    </xf>
    <xf numFmtId="0" fontId="6" fillId="0" borderId="23" xfId="2" applyFont="1" applyBorder="1" applyAlignment="1">
      <alignment horizontal="center" vertical="center"/>
    </xf>
    <xf numFmtId="0" fontId="7" fillId="0" borderId="26" xfId="1" applyFont="1" applyBorder="1" applyAlignment="1">
      <alignment horizontal="right" vertical="center" wrapText="1"/>
    </xf>
    <xf numFmtId="0" fontId="6" fillId="0" borderId="27" xfId="2" applyFont="1" applyBorder="1" applyAlignment="1">
      <alignment horizontal="center" vertical="center"/>
    </xf>
    <xf numFmtId="0" fontId="7" fillId="0" borderId="15" xfId="1" applyFont="1" applyBorder="1" applyAlignment="1">
      <alignment horizontal="right" vertical="center" wrapText="1"/>
    </xf>
    <xf numFmtId="0" fontId="6" fillId="0" borderId="43" xfId="2" applyFont="1" applyBorder="1" applyAlignment="1">
      <alignment horizontal="center" vertical="center"/>
    </xf>
    <xf numFmtId="0" fontId="6" fillId="0" borderId="8" xfId="2" applyFont="1" applyBorder="1" applyAlignment="1">
      <alignment horizontal="center" vertical="center"/>
    </xf>
    <xf numFmtId="0" fontId="6" fillId="0" borderId="22" xfId="2" applyFont="1" applyBorder="1" applyAlignment="1">
      <alignment horizontal="center" vertical="center"/>
    </xf>
    <xf numFmtId="0" fontId="10" fillId="9" borderId="1" xfId="1" applyFont="1" applyFill="1" applyBorder="1" applyAlignment="1">
      <alignment horizontal="center" vertical="center" wrapText="1"/>
    </xf>
    <xf numFmtId="0" fontId="10" fillId="9" borderId="44" xfId="1" applyFont="1" applyFill="1" applyBorder="1" applyAlignment="1">
      <alignment horizontal="center" vertical="center" wrapText="1"/>
    </xf>
    <xf numFmtId="0" fontId="10" fillId="9" borderId="3" xfId="1" applyFont="1" applyFill="1" applyBorder="1" applyAlignment="1">
      <alignment horizontal="center" vertical="center" wrapText="1"/>
    </xf>
    <xf numFmtId="0" fontId="10" fillId="9" borderId="19" xfId="1" applyFont="1" applyFill="1" applyBorder="1" applyAlignment="1">
      <alignment horizontal="center" vertical="center" wrapText="1"/>
    </xf>
    <xf numFmtId="0" fontId="10" fillId="9" borderId="2" xfId="1" applyFont="1" applyFill="1" applyBorder="1" applyAlignment="1">
      <alignment horizontal="center" vertical="center" wrapText="1"/>
    </xf>
    <xf numFmtId="0" fontId="10" fillId="9" borderId="25" xfId="1" applyFont="1" applyFill="1" applyBorder="1" applyAlignment="1">
      <alignment horizontal="center" vertical="center" wrapText="1"/>
    </xf>
    <xf numFmtId="0" fontId="10" fillId="9" borderId="21" xfId="1" applyFont="1" applyFill="1" applyBorder="1" applyAlignment="1">
      <alignment horizontal="center" vertical="center" wrapText="1"/>
    </xf>
    <xf numFmtId="0" fontId="10" fillId="9" borderId="11" xfId="1" applyFont="1" applyFill="1" applyBorder="1" applyAlignment="1">
      <alignment horizontal="center" vertical="center" wrapText="1"/>
    </xf>
    <xf numFmtId="0" fontId="7" fillId="3" borderId="13" xfId="1" applyFont="1" applyFill="1" applyBorder="1" applyAlignment="1">
      <alignment horizontal="right" vertical="center" wrapText="1"/>
    </xf>
    <xf numFmtId="0" fontId="9" fillId="3" borderId="14" xfId="1" applyFont="1" applyFill="1" applyBorder="1" applyAlignment="1">
      <alignment horizontal="right" vertical="center" wrapText="1"/>
    </xf>
    <xf numFmtId="0" fontId="7" fillId="3" borderId="17" xfId="1" applyFont="1" applyFill="1" applyBorder="1" applyAlignment="1">
      <alignment horizontal="right" vertical="center" wrapText="1"/>
    </xf>
    <xf numFmtId="0" fontId="9" fillId="0" borderId="47" xfId="2" applyFont="1" applyBorder="1" applyAlignment="1">
      <alignment horizontal="center" vertical="center"/>
    </xf>
    <xf numFmtId="0" fontId="9" fillId="2" borderId="16" xfId="2" applyFont="1" applyFill="1" applyBorder="1" applyAlignment="1">
      <alignment horizontal="center" vertical="center"/>
    </xf>
    <xf numFmtId="1" fontId="10" fillId="13" borderId="9" xfId="1" applyNumberFormat="1" applyFont="1" applyFill="1" applyBorder="1" applyAlignment="1">
      <alignment horizontal="center" vertical="center" wrapText="1"/>
    </xf>
    <xf numFmtId="0" fontId="10" fillId="2" borderId="1" xfId="1" applyFont="1" applyFill="1" applyBorder="1" applyAlignment="1">
      <alignment horizontal="center" vertical="center" wrapText="1"/>
    </xf>
    <xf numFmtId="1" fontId="10" fillId="2" borderId="1" xfId="1" applyNumberFormat="1" applyFont="1" applyFill="1" applyBorder="1" applyAlignment="1">
      <alignment horizontal="center" vertical="center" wrapText="1"/>
    </xf>
    <xf numFmtId="0" fontId="10" fillId="3" borderId="1" xfId="1" applyFont="1" applyFill="1" applyBorder="1" applyAlignment="1">
      <alignment horizontal="center" vertical="center" wrapText="1"/>
    </xf>
    <xf numFmtId="1" fontId="10" fillId="3" borderId="1" xfId="1" applyNumberFormat="1" applyFont="1" applyFill="1" applyBorder="1" applyAlignment="1">
      <alignment horizontal="center" vertical="center" wrapText="1"/>
    </xf>
    <xf numFmtId="0" fontId="10" fillId="3" borderId="19" xfId="1" applyFont="1" applyFill="1" applyBorder="1" applyAlignment="1">
      <alignment horizontal="center" vertical="center" wrapText="1"/>
    </xf>
    <xf numFmtId="0" fontId="10" fillId="3" borderId="20" xfId="1" applyFont="1" applyFill="1" applyBorder="1" applyAlignment="1">
      <alignment horizontal="center" vertical="center" wrapText="1"/>
    </xf>
    <xf numFmtId="1" fontId="10" fillId="3" borderId="19" xfId="1" applyNumberFormat="1" applyFont="1" applyFill="1" applyBorder="1" applyAlignment="1">
      <alignment horizontal="center" vertical="center" wrapText="1"/>
    </xf>
    <xf numFmtId="0" fontId="10" fillId="2" borderId="3" xfId="1" applyFont="1" applyFill="1" applyBorder="1" applyAlignment="1">
      <alignment horizontal="center" vertical="center" wrapText="1"/>
    </xf>
    <xf numFmtId="1" fontId="10" fillId="2" borderId="3" xfId="1" applyNumberFormat="1" applyFont="1" applyFill="1" applyBorder="1" applyAlignment="1">
      <alignment horizontal="center" vertical="center" wrapText="1"/>
    </xf>
    <xf numFmtId="0" fontId="10" fillId="2" borderId="11" xfId="1" applyFont="1" applyFill="1" applyBorder="1" applyAlignment="1">
      <alignment horizontal="center" vertical="center" wrapText="1"/>
    </xf>
    <xf numFmtId="1" fontId="10" fillId="2" borderId="11" xfId="1" applyNumberFormat="1" applyFont="1" applyFill="1" applyBorder="1" applyAlignment="1">
      <alignment horizontal="center" vertical="center" wrapText="1"/>
    </xf>
    <xf numFmtId="0" fontId="10" fillId="3" borderId="25" xfId="1" applyFont="1" applyFill="1" applyBorder="1" applyAlignment="1">
      <alignment horizontal="center" vertical="center" wrapText="1"/>
    </xf>
    <xf numFmtId="1" fontId="10" fillId="3" borderId="25" xfId="1" applyNumberFormat="1" applyFont="1" applyFill="1" applyBorder="1" applyAlignment="1">
      <alignment horizontal="center" vertical="center" wrapText="1"/>
    </xf>
    <xf numFmtId="0" fontId="10" fillId="2" borderId="19" xfId="1" applyFont="1" applyFill="1" applyBorder="1" applyAlignment="1">
      <alignment horizontal="center" vertical="center" wrapText="1"/>
    </xf>
    <xf numFmtId="1" fontId="10" fillId="2" borderId="19" xfId="1" applyNumberFormat="1" applyFont="1" applyFill="1" applyBorder="1" applyAlignment="1">
      <alignment horizontal="center" vertical="center" wrapText="1"/>
    </xf>
    <xf numFmtId="0" fontId="10" fillId="2" borderId="25" xfId="1" applyFont="1" applyFill="1" applyBorder="1" applyAlignment="1">
      <alignment horizontal="center" vertical="center" wrapText="1"/>
    </xf>
    <xf numFmtId="1" fontId="10" fillId="2" borderId="25" xfId="1" applyNumberFormat="1" applyFont="1" applyFill="1" applyBorder="1" applyAlignment="1">
      <alignment horizontal="center" vertical="center" wrapText="1"/>
    </xf>
    <xf numFmtId="1" fontId="10" fillId="0" borderId="21" xfId="1" applyNumberFormat="1" applyFont="1" applyBorder="1" applyAlignment="1">
      <alignment horizontal="center" vertical="center" wrapText="1"/>
    </xf>
    <xf numFmtId="0" fontId="10" fillId="0" borderId="21" xfId="1" applyFont="1" applyBorder="1" applyAlignment="1">
      <alignment horizontal="center" vertical="center" wrapText="1"/>
    </xf>
    <xf numFmtId="0" fontId="10" fillId="0" borderId="25" xfId="1" applyFont="1" applyBorder="1" applyAlignment="1">
      <alignment horizontal="center" vertical="center" wrapText="1"/>
    </xf>
    <xf numFmtId="0" fontId="10" fillId="0" borderId="28" xfId="1" applyFont="1" applyBorder="1" applyAlignment="1">
      <alignment horizontal="center" vertical="center" wrapText="1"/>
    </xf>
    <xf numFmtId="1" fontId="10" fillId="0" borderId="25" xfId="1" applyNumberFormat="1" applyFont="1" applyBorder="1" applyAlignment="1">
      <alignment horizontal="center" vertical="center" wrapText="1"/>
    </xf>
    <xf numFmtId="0" fontId="10" fillId="0" borderId="1" xfId="1" applyFont="1" applyBorder="1" applyAlignment="1">
      <alignment horizontal="center" vertical="center" wrapText="1"/>
    </xf>
    <xf numFmtId="1" fontId="10" fillId="0" borderId="1" xfId="1" applyNumberFormat="1" applyFont="1" applyBorder="1" applyAlignment="1">
      <alignment horizontal="center" vertical="center" wrapText="1"/>
    </xf>
    <xf numFmtId="0" fontId="10" fillId="0" borderId="12" xfId="1" applyFont="1" applyBorder="1" applyAlignment="1">
      <alignment horizontal="center" vertical="center" wrapText="1"/>
    </xf>
    <xf numFmtId="0" fontId="10" fillId="2" borderId="12" xfId="1" applyFont="1" applyFill="1" applyBorder="1" applyAlignment="1">
      <alignment horizontal="center" vertical="center" wrapText="1"/>
    </xf>
    <xf numFmtId="0" fontId="10" fillId="0" borderId="19" xfId="1" applyFont="1" applyBorder="1" applyAlignment="1">
      <alignment horizontal="center" vertical="center" wrapText="1"/>
    </xf>
    <xf numFmtId="1" fontId="10" fillId="0" borderId="19" xfId="1" applyNumberFormat="1" applyFont="1" applyBorder="1" applyAlignment="1">
      <alignment horizontal="center" vertical="center" wrapText="1"/>
    </xf>
    <xf numFmtId="0" fontId="13" fillId="2" borderId="11" xfId="2" applyFont="1" applyFill="1" applyBorder="1" applyAlignment="1">
      <alignment horizontal="center" vertical="center"/>
    </xf>
    <xf numFmtId="0" fontId="17" fillId="2" borderId="11" xfId="2" applyFont="1" applyFill="1" applyBorder="1" applyAlignment="1">
      <alignment horizontal="center" vertical="center"/>
    </xf>
    <xf numFmtId="0" fontId="15" fillId="2" borderId="21" xfId="1" applyFont="1" applyFill="1" applyBorder="1" applyAlignment="1">
      <alignment horizontal="center" vertical="center" wrapText="1"/>
    </xf>
    <xf numFmtId="0" fontId="10" fillId="5" borderId="49" xfId="1" applyFont="1" applyFill="1" applyBorder="1" applyAlignment="1">
      <alignment horizontal="center" vertical="center" wrapText="1"/>
    </xf>
    <xf numFmtId="0" fontId="10" fillId="5" borderId="47" xfId="1" applyFont="1" applyFill="1" applyBorder="1" applyAlignment="1">
      <alignment horizontal="center" vertical="center" wrapText="1"/>
    </xf>
    <xf numFmtId="0" fontId="10" fillId="5" borderId="50" xfId="1" applyFont="1" applyFill="1" applyBorder="1" applyAlignment="1">
      <alignment horizontal="center" vertical="center" wrapText="1"/>
    </xf>
    <xf numFmtId="0" fontId="5" fillId="5" borderId="51" xfId="1" applyFont="1" applyFill="1" applyBorder="1" applyAlignment="1">
      <alignment horizontal="center" vertical="center" wrapText="1"/>
    </xf>
    <xf numFmtId="0" fontId="20" fillId="5" borderId="53" xfId="1" applyFont="1" applyFill="1" applyBorder="1" applyAlignment="1">
      <alignment horizontal="center" vertical="center" wrapText="1"/>
    </xf>
    <xf numFmtId="0" fontId="20" fillId="5" borderId="54" xfId="1" applyFont="1" applyFill="1" applyBorder="1" applyAlignment="1">
      <alignment horizontal="center" vertical="center" wrapText="1"/>
    </xf>
    <xf numFmtId="0" fontId="10" fillId="5" borderId="55" xfId="1" applyFont="1" applyFill="1" applyBorder="1" applyAlignment="1">
      <alignment horizontal="center" vertical="center" wrapText="1"/>
    </xf>
    <xf numFmtId="0" fontId="5" fillId="5" borderId="56" xfId="1" applyFont="1" applyFill="1" applyBorder="1" applyAlignment="1">
      <alignment horizontal="center" vertical="center" wrapText="1"/>
    </xf>
    <xf numFmtId="0" fontId="10" fillId="5" borderId="57" xfId="1" applyFont="1" applyFill="1" applyBorder="1" applyAlignment="1">
      <alignment horizontal="center" vertical="center" wrapText="1"/>
    </xf>
    <xf numFmtId="0" fontId="18" fillId="11" borderId="7" xfId="2" applyFont="1" applyFill="1" applyBorder="1" applyAlignment="1">
      <alignment horizontal="center" vertical="center"/>
    </xf>
    <xf numFmtId="0" fontId="18" fillId="11" borderId="6" xfId="2" applyFont="1" applyFill="1" applyBorder="1" applyAlignment="1">
      <alignment horizontal="center" vertical="center"/>
    </xf>
    <xf numFmtId="0" fontId="18" fillId="11" borderId="5" xfId="2" applyFont="1" applyFill="1" applyBorder="1" applyAlignment="1">
      <alignment horizontal="center" vertical="center"/>
    </xf>
    <xf numFmtId="0" fontId="21" fillId="14" borderId="52" xfId="1" applyFont="1" applyFill="1" applyBorder="1" applyAlignment="1">
      <alignment horizontal="center" vertical="center" wrapText="1"/>
    </xf>
    <xf numFmtId="0" fontId="21" fillId="14" borderId="5" xfId="1" applyFont="1" applyFill="1" applyBorder="1" applyAlignment="1">
      <alignment horizontal="center" vertical="center" wrapText="1"/>
    </xf>
    <xf numFmtId="0" fontId="12" fillId="10" borderId="46" xfId="1" applyFont="1" applyFill="1" applyBorder="1" applyAlignment="1">
      <alignment horizontal="center" vertical="center" wrapText="1"/>
    </xf>
    <xf numFmtId="0" fontId="12" fillId="10" borderId="45" xfId="1" applyFont="1" applyFill="1" applyBorder="1" applyAlignment="1">
      <alignment horizontal="center" vertical="center" wrapText="1"/>
    </xf>
    <xf numFmtId="0" fontId="12" fillId="10" borderId="48" xfId="1" applyFont="1" applyFill="1" applyBorder="1" applyAlignment="1">
      <alignment horizontal="center" vertical="center" wrapText="1"/>
    </xf>
    <xf numFmtId="0" fontId="22" fillId="5" borderId="23" xfId="1" applyFont="1" applyFill="1" applyBorder="1" applyAlignment="1">
      <alignment horizontal="center" vertical="center" wrapText="1"/>
    </xf>
    <xf numFmtId="0" fontId="22" fillId="5" borderId="22" xfId="1" applyFont="1" applyFill="1" applyBorder="1" applyAlignment="1">
      <alignment horizontal="center" vertical="center" wrapText="1"/>
    </xf>
    <xf numFmtId="0" fontId="10" fillId="5" borderId="54" xfId="1" applyFont="1" applyFill="1" applyBorder="1" applyAlignment="1">
      <alignment horizontal="center" vertical="center" wrapText="1"/>
    </xf>
    <xf numFmtId="0" fontId="10" fillId="5" borderId="21" xfId="1" applyFont="1" applyFill="1" applyBorder="1" applyAlignment="1">
      <alignment horizontal="center" vertical="center" wrapText="1"/>
    </xf>
    <xf numFmtId="0" fontId="5" fillId="12" borderId="7" xfId="1" applyFont="1" applyFill="1" applyBorder="1" applyAlignment="1">
      <alignment horizontal="center" vertical="center" wrapText="1"/>
    </xf>
    <xf numFmtId="0" fontId="5" fillId="12" borderId="5" xfId="1" applyFont="1" applyFill="1" applyBorder="1" applyAlignment="1">
      <alignment horizontal="center" vertical="center" wrapText="1"/>
    </xf>
    <xf numFmtId="0" fontId="12" fillId="12" borderId="9" xfId="1" applyFont="1" applyFill="1" applyBorder="1" applyAlignment="1">
      <alignment horizontal="center" vertical="center" wrapText="1"/>
    </xf>
    <xf numFmtId="0" fontId="12" fillId="12" borderId="11" xfId="1" applyFont="1" applyFill="1" applyBorder="1" applyAlignment="1">
      <alignment horizontal="center" vertical="center" wrapText="1"/>
    </xf>
    <xf numFmtId="0" fontId="12" fillId="12" borderId="10" xfId="1" applyFont="1" applyFill="1" applyBorder="1" applyAlignment="1">
      <alignment horizontal="center" vertical="center" wrapText="1"/>
    </xf>
    <xf numFmtId="1" fontId="12" fillId="12" borderId="7" xfId="1" applyNumberFormat="1" applyFont="1" applyFill="1" applyBorder="1" applyAlignment="1">
      <alignment horizontal="right" vertical="center" wrapText="1"/>
    </xf>
    <xf numFmtId="1" fontId="12" fillId="12" borderId="6" xfId="1" applyNumberFormat="1" applyFont="1" applyFill="1" applyBorder="1" applyAlignment="1">
      <alignment horizontal="right" vertical="center" wrapText="1"/>
    </xf>
    <xf numFmtId="1" fontId="12" fillId="12" borderId="5" xfId="1" applyNumberFormat="1" applyFont="1" applyFill="1" applyBorder="1" applyAlignment="1">
      <alignment horizontal="right" vertical="center" wrapText="1"/>
    </xf>
    <xf numFmtId="1" fontId="12" fillId="13" borderId="7" xfId="1" applyNumberFormat="1" applyFont="1" applyFill="1" applyBorder="1" applyAlignment="1">
      <alignment horizontal="right" vertical="center" wrapText="1"/>
    </xf>
    <xf numFmtId="1" fontId="12" fillId="13" borderId="5" xfId="1" applyNumberFormat="1" applyFont="1" applyFill="1" applyBorder="1" applyAlignment="1">
      <alignment horizontal="right" vertical="center" wrapText="1"/>
    </xf>
    <xf numFmtId="0" fontId="13" fillId="2" borderId="2" xfId="2" applyFont="1" applyFill="1" applyBorder="1" applyAlignment="1">
      <alignment horizontal="center" vertical="center" textRotation="90"/>
    </xf>
    <xf numFmtId="0" fontId="13" fillId="2" borderId="21" xfId="2" applyFont="1" applyFill="1" applyBorder="1" applyAlignment="1">
      <alignment horizontal="center" vertical="center" textRotation="90"/>
    </xf>
    <xf numFmtId="0" fontId="14" fillId="8" borderId="24" xfId="1" applyFont="1" applyFill="1" applyBorder="1" applyAlignment="1">
      <alignment horizontal="center" vertical="center" textRotation="90" wrapText="1"/>
    </xf>
    <xf numFmtId="0" fontId="14" fillId="8" borderId="2" xfId="1" applyFont="1" applyFill="1" applyBorder="1" applyAlignment="1">
      <alignment horizontal="center" vertical="center" textRotation="90" wrapText="1"/>
    </xf>
    <xf numFmtId="0" fontId="14" fillId="8" borderId="21" xfId="1" applyFont="1" applyFill="1" applyBorder="1" applyAlignment="1">
      <alignment horizontal="center" vertical="center" textRotation="90" wrapText="1"/>
    </xf>
    <xf numFmtId="0" fontId="14" fillId="2" borderId="24" xfId="1" applyFont="1" applyFill="1" applyBorder="1" applyAlignment="1">
      <alignment horizontal="center" vertical="center" textRotation="90" wrapText="1"/>
    </xf>
    <xf numFmtId="0" fontId="14" fillId="2" borderId="2" xfId="1" applyFont="1" applyFill="1" applyBorder="1" applyAlignment="1">
      <alignment horizontal="center" vertical="center" textRotation="90" wrapText="1"/>
    </xf>
    <xf numFmtId="0" fontId="14" fillId="2" borderId="21" xfId="1" applyFont="1" applyFill="1" applyBorder="1" applyAlignment="1">
      <alignment horizontal="center" vertical="center" textRotation="90" wrapText="1"/>
    </xf>
    <xf numFmtId="0" fontId="16" fillId="8" borderId="24" xfId="1" applyFont="1" applyFill="1" applyBorder="1" applyAlignment="1">
      <alignment horizontal="center" vertical="center" wrapText="1"/>
    </xf>
    <xf numFmtId="0" fontId="16" fillId="8" borderId="21" xfId="1" applyFont="1" applyFill="1" applyBorder="1" applyAlignment="1">
      <alignment horizontal="center" vertical="center" wrapText="1"/>
    </xf>
    <xf numFmtId="0" fontId="19" fillId="4" borderId="7" xfId="1" applyFont="1" applyFill="1" applyBorder="1" applyAlignment="1">
      <alignment horizontal="center" vertical="center" wrapText="1"/>
    </xf>
    <xf numFmtId="0" fontId="19" fillId="4" borderId="6" xfId="1" applyFont="1" applyFill="1" applyBorder="1" applyAlignment="1">
      <alignment horizontal="center" vertical="center" wrapText="1"/>
    </xf>
    <xf numFmtId="0" fontId="19" fillId="4" borderId="5" xfId="1" applyFont="1" applyFill="1" applyBorder="1" applyAlignment="1">
      <alignment horizontal="center" vertical="center" wrapText="1"/>
    </xf>
    <xf numFmtId="0" fontId="21" fillId="14"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12" fillId="3" borderId="11" xfId="1" applyFont="1" applyFill="1" applyBorder="1" applyAlignment="1">
      <alignment horizontal="center" vertical="center" wrapText="1"/>
    </xf>
    <xf numFmtId="0" fontId="12" fillId="3" borderId="10" xfId="1" applyFont="1" applyFill="1" applyBorder="1" applyAlignment="1">
      <alignment horizontal="center" vertical="center" wrapText="1"/>
    </xf>
    <xf numFmtId="1" fontId="12" fillId="6" borderId="7" xfId="1" applyNumberFormat="1" applyFont="1" applyFill="1" applyBorder="1" applyAlignment="1">
      <alignment horizontal="center" vertical="center" wrapText="1"/>
    </xf>
    <xf numFmtId="1" fontId="12" fillId="6" borderId="6" xfId="1" applyNumberFormat="1" applyFont="1" applyFill="1" applyBorder="1" applyAlignment="1">
      <alignment horizontal="center" vertical="center" wrapText="1"/>
    </xf>
    <xf numFmtId="1" fontId="12" fillId="6" borderId="5" xfId="1" applyNumberFormat="1" applyFont="1" applyFill="1" applyBorder="1" applyAlignment="1">
      <alignment horizontal="center" vertical="center" wrapText="1"/>
    </xf>
    <xf numFmtId="0" fontId="3" fillId="12" borderId="40" xfId="0" applyFont="1" applyFill="1" applyBorder="1" applyAlignment="1">
      <alignment horizontal="center" vertical="center"/>
    </xf>
    <xf numFmtId="0" fontId="3" fillId="12" borderId="41"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38" xfId="0" applyFont="1" applyFill="1" applyBorder="1" applyAlignment="1">
      <alignment horizontal="center" vertical="center"/>
    </xf>
    <xf numFmtId="0" fontId="23" fillId="15" borderId="58" pivotButton="0" quotePrefix="0" xfId="0"/>
    <xf numFmtId="0" fontId="24" fillId="15" borderId="59" applyAlignment="1" pivotButton="0" quotePrefix="0" xfId="0">
      <alignment horizontal="center" vertical="center" wrapText="1"/>
    </xf>
    <xf numFmtId="0" fontId="25" fillId="17" borderId="59" applyAlignment="1" pivotButton="0" quotePrefix="0" xfId="0">
      <alignment horizontal="center" vertical="center" wrapText="1"/>
    </xf>
    <xf numFmtId="0" fontId="25" fillId="15" borderId="59" applyAlignment="1" pivotButton="0" quotePrefix="0" xfId="0">
      <alignment horizontal="center" vertical="center" wrapText="1"/>
    </xf>
    <xf numFmtId="0" fontId="26" fillId="17" borderId="59" applyAlignment="1" pivotButton="0" quotePrefix="0" xfId="0">
      <alignment horizontal="center" vertical="center" wrapText="1"/>
    </xf>
    <xf numFmtId="0" fontId="25" fillId="18" borderId="59" applyAlignment="1" pivotButton="0" quotePrefix="0" xfId="0">
      <alignment horizontal="center" vertical="center" wrapText="1"/>
    </xf>
    <xf numFmtId="0" fontId="25" fillId="15" borderId="59" applyAlignment="1" pivotButton="0" quotePrefix="0" xfId="0">
      <alignment horizontal="right" vertical="center" wrapText="1"/>
    </xf>
    <xf numFmtId="0" fontId="26" fillId="15" borderId="59" applyAlignment="1" pivotButton="0" quotePrefix="0" xfId="0">
      <alignment horizontal="right" vertical="center" wrapText="1"/>
    </xf>
    <xf numFmtId="0" fontId="26" fillId="17" borderId="59" applyAlignment="1" pivotButton="0" quotePrefix="0" xfId="0">
      <alignment horizontal="right" vertical="center" wrapText="1"/>
    </xf>
    <xf numFmtId="0" fontId="27" fillId="15" borderId="59" applyAlignment="1" pivotButton="0" quotePrefix="0" xfId="0">
      <alignment horizontal="center" vertical="center" wrapText="1"/>
    </xf>
    <xf numFmtId="0" fontId="27" fillId="15" borderId="59" applyAlignment="1" pivotButton="0" quotePrefix="0" xfId="0">
      <alignment horizontal="right" vertical="center" wrapText="1"/>
    </xf>
    <xf numFmtId="0" fontId="27" fillId="17" borderId="59" applyAlignment="1" pivotButton="0" quotePrefix="0" xfId="0">
      <alignment horizontal="center" vertical="center" wrapText="1"/>
    </xf>
    <xf numFmtId="0" fontId="24" fillId="18" borderId="59" applyAlignment="1" pivotButton="0" quotePrefix="0" xfId="0">
      <alignment horizontal="center" vertical="center" wrapText="1"/>
    </xf>
    <xf numFmtId="0" fontId="24" fillId="17" borderId="59" applyAlignment="1" pivotButton="0" quotePrefix="0" xfId="0">
      <alignment horizontal="center" vertical="center" wrapText="1"/>
    </xf>
    <xf numFmtId="0" fontId="28" fillId="15" borderId="59" applyAlignment="1" pivotButton="0" quotePrefix="0" xfId="0">
      <alignment horizontal="right" vertical="center" wrapText="1"/>
    </xf>
  </cellXfs>
  <cellStyles count="4">
    <cellStyle name="20% - Accent1 2" xfId="3" ns2:uid="{00000000-0005-0000-0000-000000000000}"/>
    <cellStyle name="Normal" xfId="0" builtinId="0"/>
    <cellStyle name="Normal 2" xfId="2" ns2:uid="{00000000-0005-0000-0000-000002000000}"/>
    <cellStyle name="Normal 3" xfId="1" ns2:uid="{00000000-0005-0000-0000-000003000000}"/>
  </cellStyles>
  <dxfs count="0"/>
  <tableStyles count="0" defaultTableStyle="TableStyleMedium2" defaultPivotStyle="PivotStyleLight16"/>
  <colors>
    <mruColors>
      <color rgb="FF72E08C"/>
      <color rgb="FF87CB97"/>
    </mruColors>
  </colors>
  <extLst>
    <ext uri="{EB79DEF2-80B8-43e5-95BD-54CBDDF9020C}">
      <ns3:slicerStyles defaultSlicerStyle="SlicerStyleLight1"/>
    </ext>
    <ext uri="{9260A510-F301-46a8-8635-F512D64BE5F5}">
      <ns4: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Eval99" Type="http://schemas.openxmlformats.org/officeDocument/2006/relationships/worksheet" Target="worksheets/sheet7.xml"/></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customProperty" Target="../customProperty2.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3.bin"/></Relationships>
</file>

<file path=xl/worksheets/_rels/sheet4.xml.rels><?xml version="1.0" encoding="UTF-8" standalone="yes"?>
<Relationships xmlns="http://schemas.openxmlformats.org/package/2006/relationships"><Relationship Id="rId1" Type="http://schemas.openxmlformats.org/officeDocument/2006/relationships/customProperty" Target="../customProperty4.bin"/></Relationships>
</file>

<file path=xl/worksheets/_rels/sheet5.xml.rels><?xml version="1.0" encoding="UTF-8" standalone="yes"?>
<Relationships xmlns="http://schemas.openxmlformats.org/package/2006/relationships"><Relationship Id="rId1" Type="http://schemas.openxmlformats.org/officeDocument/2006/relationships/customProperty" Target="../customProperty5.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6.bin"/><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DEF2F-7577-481B-B00C-A867E6F91CD5}">
  <dimension ref="A1:K46"/>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defaultRowHeight="15.6"/>
  <cols>
    <col min="1" max="1" width="2" style="1" customWidth="1"/>
    <col min="2" max="2" width="5.8984375" style="1" customWidth="1"/>
    <col min="3" max="3" width="14.8984375" style="1" customWidth="1"/>
    <col min="4" max="4" width="14" style="1" customWidth="1"/>
    <col min="5" max="5" width="9.09765625" style="1" customWidth="1"/>
    <col min="6" max="6" width="13.296875" style="1" customWidth="1"/>
    <col min="7" max="8" width="14.09765625" style="1" customWidth="1"/>
    <col min="9" max="9" width="60.296875" style="5" customWidth="1"/>
    <col min="10" max="10" width="42.59765625" style="1" bestFit="1" customWidth="1"/>
    <col min="11" max="255" width="9.09765625" style="1"/>
    <col min="256" max="256" width="22.69921875" style="1" customWidth="1"/>
    <col min="257" max="257" width="11.296875" style="1" customWidth="1"/>
    <col min="258" max="260" width="13.296875" style="1" customWidth="1"/>
    <col min="261" max="261" width="18.8984375" style="1" customWidth="1"/>
    <col min="262" max="262" width="24.59765625" style="1" customWidth="1"/>
    <col min="263" max="511" width="9.09765625" style="1"/>
    <col min="512" max="512" width="22.69921875" style="1" customWidth="1"/>
    <col min="513" max="513" width="11.296875" style="1" customWidth="1"/>
    <col min="514" max="516" width="13.296875" style="1" customWidth="1"/>
    <col min="517" max="517" width="18.8984375" style="1" customWidth="1"/>
    <col min="518" max="518" width="24.59765625" style="1" customWidth="1"/>
    <col min="519" max="767" width="9.09765625" style="1"/>
    <col min="768" max="768" width="22.69921875" style="1" customWidth="1"/>
    <col min="769" max="769" width="11.296875" style="1" customWidth="1"/>
    <col min="770" max="772" width="13.296875" style="1" customWidth="1"/>
    <col min="773" max="773" width="18.8984375" style="1" customWidth="1"/>
    <col min="774" max="774" width="24.59765625" style="1" customWidth="1"/>
    <col min="775" max="1023" width="9.09765625" style="1"/>
    <col min="1024" max="1024" width="22.69921875" style="1" customWidth="1"/>
    <col min="1025" max="1025" width="11.296875" style="1" customWidth="1"/>
    <col min="1026" max="1028" width="13.296875" style="1" customWidth="1"/>
    <col min="1029" max="1029" width="18.8984375" style="1" customWidth="1"/>
    <col min="1030" max="1030" width="24.59765625" style="1" customWidth="1"/>
    <col min="1031" max="1279" width="9.09765625" style="1"/>
    <col min="1280" max="1280" width="22.69921875" style="1" customWidth="1"/>
    <col min="1281" max="1281" width="11.296875" style="1" customWidth="1"/>
    <col min="1282" max="1284" width="13.296875" style="1" customWidth="1"/>
    <col min="1285" max="1285" width="18.8984375" style="1" customWidth="1"/>
    <col min="1286" max="1286" width="24.59765625" style="1" customWidth="1"/>
    <col min="1287" max="1535" width="9.09765625" style="1"/>
    <col min="1536" max="1536" width="22.69921875" style="1" customWidth="1"/>
    <col min="1537" max="1537" width="11.296875" style="1" customWidth="1"/>
    <col min="1538" max="1540" width="13.296875" style="1" customWidth="1"/>
    <col min="1541" max="1541" width="18.8984375" style="1" customWidth="1"/>
    <col min="1542" max="1542" width="24.59765625" style="1" customWidth="1"/>
    <col min="1543" max="1791" width="9.09765625" style="1"/>
    <col min="1792" max="1792" width="22.69921875" style="1" customWidth="1"/>
    <col min="1793" max="1793" width="11.296875" style="1" customWidth="1"/>
    <col min="1794" max="1796" width="13.296875" style="1" customWidth="1"/>
    <col min="1797" max="1797" width="18.8984375" style="1" customWidth="1"/>
    <col min="1798" max="1798" width="24.59765625" style="1" customWidth="1"/>
    <col min="1799" max="2047" width="9.09765625" style="1"/>
    <col min="2048" max="2048" width="22.69921875" style="1" customWidth="1"/>
    <col min="2049" max="2049" width="11.296875" style="1" customWidth="1"/>
    <col min="2050" max="2052" width="13.296875" style="1" customWidth="1"/>
    <col min="2053" max="2053" width="18.8984375" style="1" customWidth="1"/>
    <col min="2054" max="2054" width="24.59765625" style="1" customWidth="1"/>
    <col min="2055" max="2303" width="9.09765625" style="1"/>
    <col min="2304" max="2304" width="22.69921875" style="1" customWidth="1"/>
    <col min="2305" max="2305" width="11.296875" style="1" customWidth="1"/>
    <col min="2306" max="2308" width="13.296875" style="1" customWidth="1"/>
    <col min="2309" max="2309" width="18.8984375" style="1" customWidth="1"/>
    <col min="2310" max="2310" width="24.59765625" style="1" customWidth="1"/>
    <col min="2311" max="2559" width="9.09765625" style="1"/>
    <col min="2560" max="2560" width="22.69921875" style="1" customWidth="1"/>
    <col min="2561" max="2561" width="11.296875" style="1" customWidth="1"/>
    <col min="2562" max="2564" width="13.296875" style="1" customWidth="1"/>
    <col min="2565" max="2565" width="18.8984375" style="1" customWidth="1"/>
    <col min="2566" max="2566" width="24.59765625" style="1" customWidth="1"/>
    <col min="2567" max="2815" width="9.09765625" style="1"/>
    <col min="2816" max="2816" width="22.69921875" style="1" customWidth="1"/>
    <col min="2817" max="2817" width="11.296875" style="1" customWidth="1"/>
    <col min="2818" max="2820" width="13.296875" style="1" customWidth="1"/>
    <col min="2821" max="2821" width="18.8984375" style="1" customWidth="1"/>
    <col min="2822" max="2822" width="24.59765625" style="1" customWidth="1"/>
    <col min="2823" max="3071" width="9.09765625" style="1"/>
    <col min="3072" max="3072" width="22.69921875" style="1" customWidth="1"/>
    <col min="3073" max="3073" width="11.296875" style="1" customWidth="1"/>
    <col min="3074" max="3076" width="13.296875" style="1" customWidth="1"/>
    <col min="3077" max="3077" width="18.8984375" style="1" customWidth="1"/>
    <col min="3078" max="3078" width="24.59765625" style="1" customWidth="1"/>
    <col min="3079" max="3327" width="9.09765625" style="1"/>
    <col min="3328" max="3328" width="22.69921875" style="1" customWidth="1"/>
    <col min="3329" max="3329" width="11.296875" style="1" customWidth="1"/>
    <col min="3330" max="3332" width="13.296875" style="1" customWidth="1"/>
    <col min="3333" max="3333" width="18.8984375" style="1" customWidth="1"/>
    <col min="3334" max="3334" width="24.59765625" style="1" customWidth="1"/>
    <col min="3335" max="3583" width="9.09765625" style="1"/>
    <col min="3584" max="3584" width="22.69921875" style="1" customWidth="1"/>
    <col min="3585" max="3585" width="11.296875" style="1" customWidth="1"/>
    <col min="3586" max="3588" width="13.296875" style="1" customWidth="1"/>
    <col min="3589" max="3589" width="18.8984375" style="1" customWidth="1"/>
    <col min="3590" max="3590" width="24.59765625" style="1" customWidth="1"/>
    <col min="3591" max="3839" width="9.09765625" style="1"/>
    <col min="3840" max="3840" width="22.69921875" style="1" customWidth="1"/>
    <col min="3841" max="3841" width="11.296875" style="1" customWidth="1"/>
    <col min="3842" max="3844" width="13.296875" style="1" customWidth="1"/>
    <col min="3845" max="3845" width="18.8984375" style="1" customWidth="1"/>
    <col min="3846" max="3846" width="24.59765625" style="1" customWidth="1"/>
    <col min="3847" max="4095" width="9.09765625" style="1"/>
    <col min="4096" max="4096" width="22.69921875" style="1" customWidth="1"/>
    <col min="4097" max="4097" width="11.296875" style="1" customWidth="1"/>
    <col min="4098" max="4100" width="13.296875" style="1" customWidth="1"/>
    <col min="4101" max="4101" width="18.8984375" style="1" customWidth="1"/>
    <col min="4102" max="4102" width="24.59765625" style="1" customWidth="1"/>
    <col min="4103" max="4351" width="9.09765625" style="1"/>
    <col min="4352" max="4352" width="22.69921875" style="1" customWidth="1"/>
    <col min="4353" max="4353" width="11.296875" style="1" customWidth="1"/>
    <col min="4354" max="4356" width="13.296875" style="1" customWidth="1"/>
    <col min="4357" max="4357" width="18.8984375" style="1" customWidth="1"/>
    <col min="4358" max="4358" width="24.59765625" style="1" customWidth="1"/>
    <col min="4359" max="4607" width="9.09765625" style="1"/>
    <col min="4608" max="4608" width="22.69921875" style="1" customWidth="1"/>
    <col min="4609" max="4609" width="11.296875" style="1" customWidth="1"/>
    <col min="4610" max="4612" width="13.296875" style="1" customWidth="1"/>
    <col min="4613" max="4613" width="18.8984375" style="1" customWidth="1"/>
    <col min="4614" max="4614" width="24.59765625" style="1" customWidth="1"/>
    <col min="4615" max="4863" width="9.09765625" style="1"/>
    <col min="4864" max="4864" width="22.69921875" style="1" customWidth="1"/>
    <col min="4865" max="4865" width="11.296875" style="1" customWidth="1"/>
    <col min="4866" max="4868" width="13.296875" style="1" customWidth="1"/>
    <col min="4869" max="4869" width="18.8984375" style="1" customWidth="1"/>
    <col min="4870" max="4870" width="24.59765625" style="1" customWidth="1"/>
    <col min="4871" max="5119" width="9.09765625" style="1"/>
    <col min="5120" max="5120" width="22.69921875" style="1" customWidth="1"/>
    <col min="5121" max="5121" width="11.296875" style="1" customWidth="1"/>
    <col min="5122" max="5124" width="13.296875" style="1" customWidth="1"/>
    <col min="5125" max="5125" width="18.8984375" style="1" customWidth="1"/>
    <col min="5126" max="5126" width="24.59765625" style="1" customWidth="1"/>
    <col min="5127" max="5375" width="9.09765625" style="1"/>
    <col min="5376" max="5376" width="22.69921875" style="1" customWidth="1"/>
    <col min="5377" max="5377" width="11.296875" style="1" customWidth="1"/>
    <col min="5378" max="5380" width="13.296875" style="1" customWidth="1"/>
    <col min="5381" max="5381" width="18.8984375" style="1" customWidth="1"/>
    <col min="5382" max="5382" width="24.59765625" style="1" customWidth="1"/>
    <col min="5383" max="5631" width="9.09765625" style="1"/>
    <col min="5632" max="5632" width="22.69921875" style="1" customWidth="1"/>
    <col min="5633" max="5633" width="11.296875" style="1" customWidth="1"/>
    <col min="5634" max="5636" width="13.296875" style="1" customWidth="1"/>
    <col min="5637" max="5637" width="18.8984375" style="1" customWidth="1"/>
    <col min="5638" max="5638" width="24.59765625" style="1" customWidth="1"/>
    <col min="5639" max="5887" width="9.09765625" style="1"/>
    <col min="5888" max="5888" width="22.69921875" style="1" customWidth="1"/>
    <col min="5889" max="5889" width="11.296875" style="1" customWidth="1"/>
    <col min="5890" max="5892" width="13.296875" style="1" customWidth="1"/>
    <col min="5893" max="5893" width="18.8984375" style="1" customWidth="1"/>
    <col min="5894" max="5894" width="24.59765625" style="1" customWidth="1"/>
    <col min="5895" max="6143" width="9.09765625" style="1"/>
    <col min="6144" max="6144" width="22.69921875" style="1" customWidth="1"/>
    <col min="6145" max="6145" width="11.296875" style="1" customWidth="1"/>
    <col min="6146" max="6148" width="13.296875" style="1" customWidth="1"/>
    <col min="6149" max="6149" width="18.8984375" style="1" customWidth="1"/>
    <col min="6150" max="6150" width="24.59765625" style="1" customWidth="1"/>
    <col min="6151" max="6399" width="9.09765625" style="1"/>
    <col min="6400" max="6400" width="22.69921875" style="1" customWidth="1"/>
    <col min="6401" max="6401" width="11.296875" style="1" customWidth="1"/>
    <col min="6402" max="6404" width="13.296875" style="1" customWidth="1"/>
    <col min="6405" max="6405" width="18.8984375" style="1" customWidth="1"/>
    <col min="6406" max="6406" width="24.59765625" style="1" customWidth="1"/>
    <col min="6407" max="6655" width="9.09765625" style="1"/>
    <col min="6656" max="6656" width="22.69921875" style="1" customWidth="1"/>
    <col min="6657" max="6657" width="11.296875" style="1" customWidth="1"/>
    <col min="6658" max="6660" width="13.296875" style="1" customWidth="1"/>
    <col min="6661" max="6661" width="18.8984375" style="1" customWidth="1"/>
    <col min="6662" max="6662" width="24.59765625" style="1" customWidth="1"/>
    <col min="6663" max="6911" width="9.09765625" style="1"/>
    <col min="6912" max="6912" width="22.69921875" style="1" customWidth="1"/>
    <col min="6913" max="6913" width="11.296875" style="1" customWidth="1"/>
    <col min="6914" max="6916" width="13.296875" style="1" customWidth="1"/>
    <col min="6917" max="6917" width="18.8984375" style="1" customWidth="1"/>
    <col min="6918" max="6918" width="24.59765625" style="1" customWidth="1"/>
    <col min="6919" max="7167" width="9.09765625" style="1"/>
    <col min="7168" max="7168" width="22.69921875" style="1" customWidth="1"/>
    <col min="7169" max="7169" width="11.296875" style="1" customWidth="1"/>
    <col min="7170" max="7172" width="13.296875" style="1" customWidth="1"/>
    <col min="7173" max="7173" width="18.8984375" style="1" customWidth="1"/>
    <col min="7174" max="7174" width="24.59765625" style="1" customWidth="1"/>
    <col min="7175" max="7423" width="9.09765625" style="1"/>
    <col min="7424" max="7424" width="22.69921875" style="1" customWidth="1"/>
    <col min="7425" max="7425" width="11.296875" style="1" customWidth="1"/>
    <col min="7426" max="7428" width="13.296875" style="1" customWidth="1"/>
    <col min="7429" max="7429" width="18.8984375" style="1" customWidth="1"/>
    <col min="7430" max="7430" width="24.59765625" style="1" customWidth="1"/>
    <col min="7431" max="7679" width="9.09765625" style="1"/>
    <col min="7680" max="7680" width="22.69921875" style="1" customWidth="1"/>
    <col min="7681" max="7681" width="11.296875" style="1" customWidth="1"/>
    <col min="7682" max="7684" width="13.296875" style="1" customWidth="1"/>
    <col min="7685" max="7685" width="18.8984375" style="1" customWidth="1"/>
    <col min="7686" max="7686" width="24.59765625" style="1" customWidth="1"/>
    <col min="7687" max="7935" width="9.09765625" style="1"/>
    <col min="7936" max="7936" width="22.69921875" style="1" customWidth="1"/>
    <col min="7937" max="7937" width="11.296875" style="1" customWidth="1"/>
    <col min="7938" max="7940" width="13.296875" style="1" customWidth="1"/>
    <col min="7941" max="7941" width="18.8984375" style="1" customWidth="1"/>
    <col min="7942" max="7942" width="24.59765625" style="1" customWidth="1"/>
    <col min="7943" max="8191" width="9.09765625" style="1"/>
    <col min="8192" max="8192" width="22.69921875" style="1" customWidth="1"/>
    <col min="8193" max="8193" width="11.296875" style="1" customWidth="1"/>
    <col min="8194" max="8196" width="13.296875" style="1" customWidth="1"/>
    <col min="8197" max="8197" width="18.8984375" style="1" customWidth="1"/>
    <col min="8198" max="8198" width="24.59765625" style="1" customWidth="1"/>
    <col min="8199" max="8447" width="9.09765625" style="1"/>
    <col min="8448" max="8448" width="22.69921875" style="1" customWidth="1"/>
    <col min="8449" max="8449" width="11.296875" style="1" customWidth="1"/>
    <col min="8450" max="8452" width="13.296875" style="1" customWidth="1"/>
    <col min="8453" max="8453" width="18.8984375" style="1" customWidth="1"/>
    <col min="8454" max="8454" width="24.59765625" style="1" customWidth="1"/>
    <col min="8455" max="8703" width="9.09765625" style="1"/>
    <col min="8704" max="8704" width="22.69921875" style="1" customWidth="1"/>
    <col min="8705" max="8705" width="11.296875" style="1" customWidth="1"/>
    <col min="8706" max="8708" width="13.296875" style="1" customWidth="1"/>
    <col min="8709" max="8709" width="18.8984375" style="1" customWidth="1"/>
    <col min="8710" max="8710" width="24.59765625" style="1" customWidth="1"/>
    <col min="8711" max="8959" width="9.09765625" style="1"/>
    <col min="8960" max="8960" width="22.69921875" style="1" customWidth="1"/>
    <col min="8961" max="8961" width="11.296875" style="1" customWidth="1"/>
    <col min="8962" max="8964" width="13.296875" style="1" customWidth="1"/>
    <col min="8965" max="8965" width="18.8984375" style="1" customWidth="1"/>
    <col min="8966" max="8966" width="24.59765625" style="1" customWidth="1"/>
    <col min="8967" max="9215" width="9.09765625" style="1"/>
    <col min="9216" max="9216" width="22.69921875" style="1" customWidth="1"/>
    <col min="9217" max="9217" width="11.296875" style="1" customWidth="1"/>
    <col min="9218" max="9220" width="13.296875" style="1" customWidth="1"/>
    <col min="9221" max="9221" width="18.8984375" style="1" customWidth="1"/>
    <col min="9222" max="9222" width="24.59765625" style="1" customWidth="1"/>
    <col min="9223" max="9471" width="9.09765625" style="1"/>
    <col min="9472" max="9472" width="22.69921875" style="1" customWidth="1"/>
    <col min="9473" max="9473" width="11.296875" style="1" customWidth="1"/>
    <col min="9474" max="9476" width="13.296875" style="1" customWidth="1"/>
    <col min="9477" max="9477" width="18.8984375" style="1" customWidth="1"/>
    <col min="9478" max="9478" width="24.59765625" style="1" customWidth="1"/>
    <col min="9479" max="9727" width="9.09765625" style="1"/>
    <col min="9728" max="9728" width="22.69921875" style="1" customWidth="1"/>
    <col min="9729" max="9729" width="11.296875" style="1" customWidth="1"/>
    <col min="9730" max="9732" width="13.296875" style="1" customWidth="1"/>
    <col min="9733" max="9733" width="18.8984375" style="1" customWidth="1"/>
    <col min="9734" max="9734" width="24.59765625" style="1" customWidth="1"/>
    <col min="9735" max="9983" width="9.09765625" style="1"/>
    <col min="9984" max="9984" width="22.69921875" style="1" customWidth="1"/>
    <col min="9985" max="9985" width="11.296875" style="1" customWidth="1"/>
    <col min="9986" max="9988" width="13.296875" style="1" customWidth="1"/>
    <col min="9989" max="9989" width="18.8984375" style="1" customWidth="1"/>
    <col min="9990" max="9990" width="24.59765625" style="1" customWidth="1"/>
    <col min="9991" max="10239" width="9.09765625" style="1"/>
    <col min="10240" max="10240" width="22.69921875" style="1" customWidth="1"/>
    <col min="10241" max="10241" width="11.296875" style="1" customWidth="1"/>
    <col min="10242" max="10244" width="13.296875" style="1" customWidth="1"/>
    <col min="10245" max="10245" width="18.8984375" style="1" customWidth="1"/>
    <col min="10246" max="10246" width="24.59765625" style="1" customWidth="1"/>
    <col min="10247" max="10495" width="9.09765625" style="1"/>
    <col min="10496" max="10496" width="22.69921875" style="1" customWidth="1"/>
    <col min="10497" max="10497" width="11.296875" style="1" customWidth="1"/>
    <col min="10498" max="10500" width="13.296875" style="1" customWidth="1"/>
    <col min="10501" max="10501" width="18.8984375" style="1" customWidth="1"/>
    <col min="10502" max="10502" width="24.59765625" style="1" customWidth="1"/>
    <col min="10503" max="10751" width="9.09765625" style="1"/>
    <col min="10752" max="10752" width="22.69921875" style="1" customWidth="1"/>
    <col min="10753" max="10753" width="11.296875" style="1" customWidth="1"/>
    <col min="10754" max="10756" width="13.296875" style="1" customWidth="1"/>
    <col min="10757" max="10757" width="18.8984375" style="1" customWidth="1"/>
    <col min="10758" max="10758" width="24.59765625" style="1" customWidth="1"/>
    <col min="10759" max="11007" width="9.09765625" style="1"/>
    <col min="11008" max="11008" width="22.69921875" style="1" customWidth="1"/>
    <col min="11009" max="11009" width="11.296875" style="1" customWidth="1"/>
    <col min="11010" max="11012" width="13.296875" style="1" customWidth="1"/>
    <col min="11013" max="11013" width="18.8984375" style="1" customWidth="1"/>
    <col min="11014" max="11014" width="24.59765625" style="1" customWidth="1"/>
    <col min="11015" max="11263" width="9.09765625" style="1"/>
    <col min="11264" max="11264" width="22.69921875" style="1" customWidth="1"/>
    <col min="11265" max="11265" width="11.296875" style="1" customWidth="1"/>
    <col min="11266" max="11268" width="13.296875" style="1" customWidth="1"/>
    <col min="11269" max="11269" width="18.8984375" style="1" customWidth="1"/>
    <col min="11270" max="11270" width="24.59765625" style="1" customWidth="1"/>
    <col min="11271" max="11519" width="9.09765625" style="1"/>
    <col min="11520" max="11520" width="22.69921875" style="1" customWidth="1"/>
    <col min="11521" max="11521" width="11.296875" style="1" customWidth="1"/>
    <col min="11522" max="11524" width="13.296875" style="1" customWidth="1"/>
    <col min="11525" max="11525" width="18.8984375" style="1" customWidth="1"/>
    <col min="11526" max="11526" width="24.59765625" style="1" customWidth="1"/>
    <col min="11527" max="11775" width="9.09765625" style="1"/>
    <col min="11776" max="11776" width="22.69921875" style="1" customWidth="1"/>
    <col min="11777" max="11777" width="11.296875" style="1" customWidth="1"/>
    <col min="11778" max="11780" width="13.296875" style="1" customWidth="1"/>
    <col min="11781" max="11781" width="18.8984375" style="1" customWidth="1"/>
    <col min="11782" max="11782" width="24.59765625" style="1" customWidth="1"/>
    <col min="11783" max="12031" width="9.09765625" style="1"/>
    <col min="12032" max="12032" width="22.69921875" style="1" customWidth="1"/>
    <col min="12033" max="12033" width="11.296875" style="1" customWidth="1"/>
    <col min="12034" max="12036" width="13.296875" style="1" customWidth="1"/>
    <col min="12037" max="12037" width="18.8984375" style="1" customWidth="1"/>
    <col min="12038" max="12038" width="24.59765625" style="1" customWidth="1"/>
    <col min="12039" max="12287" width="9.09765625" style="1"/>
    <col min="12288" max="12288" width="22.69921875" style="1" customWidth="1"/>
    <col min="12289" max="12289" width="11.296875" style="1" customWidth="1"/>
    <col min="12290" max="12292" width="13.296875" style="1" customWidth="1"/>
    <col min="12293" max="12293" width="18.8984375" style="1" customWidth="1"/>
    <col min="12294" max="12294" width="24.59765625" style="1" customWidth="1"/>
    <col min="12295" max="12543" width="9.09765625" style="1"/>
    <col min="12544" max="12544" width="22.69921875" style="1" customWidth="1"/>
    <col min="12545" max="12545" width="11.296875" style="1" customWidth="1"/>
    <col min="12546" max="12548" width="13.296875" style="1" customWidth="1"/>
    <col min="12549" max="12549" width="18.8984375" style="1" customWidth="1"/>
    <col min="12550" max="12550" width="24.59765625" style="1" customWidth="1"/>
    <col min="12551" max="12799" width="9.09765625" style="1"/>
    <col min="12800" max="12800" width="22.69921875" style="1" customWidth="1"/>
    <col min="12801" max="12801" width="11.296875" style="1" customWidth="1"/>
    <col min="12802" max="12804" width="13.296875" style="1" customWidth="1"/>
    <col min="12805" max="12805" width="18.8984375" style="1" customWidth="1"/>
    <col min="12806" max="12806" width="24.59765625" style="1" customWidth="1"/>
    <col min="12807" max="13055" width="9.09765625" style="1"/>
    <col min="13056" max="13056" width="22.69921875" style="1" customWidth="1"/>
    <col min="13057" max="13057" width="11.296875" style="1" customWidth="1"/>
    <col min="13058" max="13060" width="13.296875" style="1" customWidth="1"/>
    <col min="13061" max="13061" width="18.8984375" style="1" customWidth="1"/>
    <col min="13062" max="13062" width="24.59765625" style="1" customWidth="1"/>
    <col min="13063" max="13311" width="9.09765625" style="1"/>
    <col min="13312" max="13312" width="22.69921875" style="1" customWidth="1"/>
    <col min="13313" max="13313" width="11.296875" style="1" customWidth="1"/>
    <col min="13314" max="13316" width="13.296875" style="1" customWidth="1"/>
    <col min="13317" max="13317" width="18.8984375" style="1" customWidth="1"/>
    <col min="13318" max="13318" width="24.59765625" style="1" customWidth="1"/>
    <col min="13319" max="13567" width="9.09765625" style="1"/>
    <col min="13568" max="13568" width="22.69921875" style="1" customWidth="1"/>
    <col min="13569" max="13569" width="11.296875" style="1" customWidth="1"/>
    <col min="13570" max="13572" width="13.296875" style="1" customWidth="1"/>
    <col min="13573" max="13573" width="18.8984375" style="1" customWidth="1"/>
    <col min="13574" max="13574" width="24.59765625" style="1" customWidth="1"/>
    <col min="13575" max="13823" width="9.09765625" style="1"/>
    <col min="13824" max="13824" width="22.69921875" style="1" customWidth="1"/>
    <col min="13825" max="13825" width="11.296875" style="1" customWidth="1"/>
    <col min="13826" max="13828" width="13.296875" style="1" customWidth="1"/>
    <col min="13829" max="13829" width="18.8984375" style="1" customWidth="1"/>
    <col min="13830" max="13830" width="24.59765625" style="1" customWidth="1"/>
    <col min="13831" max="14079" width="9.09765625" style="1"/>
    <col min="14080" max="14080" width="22.69921875" style="1" customWidth="1"/>
    <col min="14081" max="14081" width="11.296875" style="1" customWidth="1"/>
    <col min="14082" max="14084" width="13.296875" style="1" customWidth="1"/>
    <col min="14085" max="14085" width="18.8984375" style="1" customWidth="1"/>
    <col min="14086" max="14086" width="24.59765625" style="1" customWidth="1"/>
    <col min="14087" max="14335" width="9.09765625" style="1"/>
    <col min="14336" max="14336" width="22.69921875" style="1" customWidth="1"/>
    <col min="14337" max="14337" width="11.296875" style="1" customWidth="1"/>
    <col min="14338" max="14340" width="13.296875" style="1" customWidth="1"/>
    <col min="14341" max="14341" width="18.8984375" style="1" customWidth="1"/>
    <col min="14342" max="14342" width="24.59765625" style="1" customWidth="1"/>
    <col min="14343" max="14591" width="9.09765625" style="1"/>
    <col min="14592" max="14592" width="22.69921875" style="1" customWidth="1"/>
    <col min="14593" max="14593" width="11.296875" style="1" customWidth="1"/>
    <col min="14594" max="14596" width="13.296875" style="1" customWidth="1"/>
    <col min="14597" max="14597" width="18.8984375" style="1" customWidth="1"/>
    <col min="14598" max="14598" width="24.59765625" style="1" customWidth="1"/>
    <col min="14599" max="14847" width="9.09765625" style="1"/>
    <col min="14848" max="14848" width="22.69921875" style="1" customWidth="1"/>
    <col min="14849" max="14849" width="11.296875" style="1" customWidth="1"/>
    <col min="14850" max="14852" width="13.296875" style="1" customWidth="1"/>
    <col min="14853" max="14853" width="18.8984375" style="1" customWidth="1"/>
    <col min="14854" max="14854" width="24.59765625" style="1" customWidth="1"/>
    <col min="14855" max="15103" width="9.09765625" style="1"/>
    <col min="15104" max="15104" width="22.69921875" style="1" customWidth="1"/>
    <col min="15105" max="15105" width="11.296875" style="1" customWidth="1"/>
    <col min="15106" max="15108" width="13.296875" style="1" customWidth="1"/>
    <col min="15109" max="15109" width="18.8984375" style="1" customWidth="1"/>
    <col min="15110" max="15110" width="24.59765625" style="1" customWidth="1"/>
    <col min="15111" max="15359" width="9.09765625" style="1"/>
    <col min="15360" max="15360" width="22.69921875" style="1" customWidth="1"/>
    <col min="15361" max="15361" width="11.296875" style="1" customWidth="1"/>
    <col min="15362" max="15364" width="13.296875" style="1" customWidth="1"/>
    <col min="15365" max="15365" width="18.8984375" style="1" customWidth="1"/>
    <col min="15366" max="15366" width="24.59765625" style="1" customWidth="1"/>
    <col min="15367" max="15615" width="9.09765625" style="1"/>
    <col min="15616" max="15616" width="22.69921875" style="1" customWidth="1"/>
    <col min="15617" max="15617" width="11.296875" style="1" customWidth="1"/>
    <col min="15618" max="15620" width="13.296875" style="1" customWidth="1"/>
    <col min="15621" max="15621" width="18.8984375" style="1" customWidth="1"/>
    <col min="15622" max="15622" width="24.59765625" style="1" customWidth="1"/>
    <col min="15623" max="15871" width="9.09765625" style="1"/>
    <col min="15872" max="15872" width="22.69921875" style="1" customWidth="1"/>
    <col min="15873" max="15873" width="11.296875" style="1" customWidth="1"/>
    <col min="15874" max="15876" width="13.296875" style="1" customWidth="1"/>
    <col min="15877" max="15877" width="18.8984375" style="1" customWidth="1"/>
    <col min="15878" max="15878" width="24.59765625" style="1" customWidth="1"/>
    <col min="15879" max="16127" width="9.09765625" style="1"/>
    <col min="16128" max="16128" width="22.69921875" style="1" customWidth="1"/>
    <col min="16129" max="16129" width="11.296875" style="1" customWidth="1"/>
    <col min="16130" max="16132" width="13.296875" style="1" customWidth="1"/>
    <col min="16133" max="16133" width="18.8984375" style="1" customWidth="1"/>
    <col min="16134" max="16134" width="24.59765625" style="1" customWidth="1"/>
    <col min="16135" max="16384" width="9.09765625" style="1"/>
  </cols>
  <sheetData>
    <row r="1" spans="1:10" ht="9" customHeight="1" thickBot="1"/>
    <row r="2" spans="1:10" ht="29.25" customHeight="1" thickTop="1" thickBot="1">
      <c r="B2" s="99" t="s">
        <v>80</v>
      </c>
      <c r="C2" s="100"/>
      <c r="D2" s="100"/>
      <c r="E2" s="100"/>
      <c r="F2" s="100"/>
      <c r="G2" s="100"/>
      <c r="H2" s="100"/>
      <c r="I2" s="100"/>
      <c r="J2" s="101"/>
    </row>
    <row r="3" spans="1:10" ht="33" customHeight="1" thickTop="1" thickBot="1">
      <c r="B3" s="131" t="s">
        <v>30</v>
      </c>
      <c r="C3" s="132"/>
      <c r="D3" s="132"/>
      <c r="E3" s="132"/>
      <c r="F3" s="133"/>
      <c r="G3" s="134" t="s">
        <v>156</v>
      </c>
      <c r="H3" s="134"/>
      <c r="I3" s="102"/>
      <c r="J3" s="103"/>
    </row>
    <row r="4" spans="1:10" ht="36" customHeight="1" thickTop="1" thickBot="1">
      <c r="B4" s="104" t="s">
        <v>0</v>
      </c>
      <c r="C4" s="105"/>
      <c r="D4" s="105"/>
      <c r="E4" s="105"/>
      <c r="F4" s="105"/>
      <c r="G4" s="105"/>
      <c r="H4" s="105"/>
      <c r="I4" s="105"/>
      <c r="J4" s="106"/>
    </row>
    <row r="5" spans="1:10" ht="35.1" customHeight="1" thickTop="1" thickBot="1">
      <c r="B5" s="107" t="s">
        <v>18</v>
      </c>
      <c r="C5" s="109" t="s">
        <v>1</v>
      </c>
      <c r="D5" s="109"/>
      <c r="E5" s="94" t="s">
        <v>2</v>
      </c>
      <c r="F5" s="95" t="s">
        <v>3</v>
      </c>
      <c r="G5" s="96" t="s">
        <v>157</v>
      </c>
      <c r="H5" s="97" t="s">
        <v>4</v>
      </c>
      <c r="I5" s="98" t="s">
        <v>52</v>
      </c>
      <c r="J5" s="98" t="s">
        <v>149</v>
      </c>
    </row>
    <row r="6" spans="1:10" ht="35.1" customHeight="1" thickBot="1">
      <c r="B6" s="108"/>
      <c r="C6" s="110" t="s">
        <v>5</v>
      </c>
      <c r="D6" s="110"/>
      <c r="E6" s="90" t="s">
        <v>6</v>
      </c>
      <c r="F6" s="90" t="s">
        <v>7</v>
      </c>
      <c r="G6" s="92" t="s">
        <v>155</v>
      </c>
      <c r="H6" s="93" t="s">
        <v>8</v>
      </c>
      <c r="I6" s="91" t="s">
        <v>48</v>
      </c>
      <c r="J6" s="91" t="s">
        <v>150</v>
      </c>
    </row>
    <row r="7" spans="1:10" ht="54" thickTop="1" thickBot="1">
      <c r="B7" s="12">
        <v>1</v>
      </c>
      <c r="C7" s="121" t="s">
        <v>154</v>
      </c>
      <c r="D7" s="66" t="s">
        <v>19</v>
      </c>
      <c r="E7" s="66" t="s">
        <v>42</v>
      </c>
      <c r="F7" s="47"/>
      <c r="G7" s="67">
        <v>350</v>
      </c>
      <c r="H7" s="67">
        <f t="shared" ref="H7:H43" si="0">F7*G7</f>
        <v>0</v>
      </c>
      <c r="I7" s="11" t="s">
        <v>49</v>
      </c>
      <c r="J7" s="11" t="s">
        <v>114</v>
      </c>
    </row>
    <row r="8" spans="1:10" ht="53.4" thickBot="1">
      <c r="A8" s="3"/>
      <c r="B8" s="2">
        <v>2</v>
      </c>
      <c r="C8" s="121"/>
      <c r="D8" s="61" t="s">
        <v>43</v>
      </c>
      <c r="E8" s="61" t="s">
        <v>44</v>
      </c>
      <c r="F8" s="45"/>
      <c r="G8" s="62">
        <v>4</v>
      </c>
      <c r="H8" s="62">
        <f t="shared" si="0"/>
        <v>0</v>
      </c>
      <c r="I8" s="7" t="s">
        <v>53</v>
      </c>
      <c r="J8" s="7" t="s">
        <v>115</v>
      </c>
    </row>
    <row r="9" spans="1:10" ht="79.8" thickBot="1">
      <c r="A9" s="3"/>
      <c r="B9" s="8">
        <v>3</v>
      </c>
      <c r="C9" s="121"/>
      <c r="D9" s="59" t="s">
        <v>20</v>
      </c>
      <c r="E9" s="59" t="s">
        <v>9</v>
      </c>
      <c r="F9" s="45"/>
      <c r="G9" s="60">
        <v>15</v>
      </c>
      <c r="H9" s="60">
        <f t="shared" si="0"/>
        <v>0</v>
      </c>
      <c r="I9" s="9" t="s">
        <v>89</v>
      </c>
      <c r="J9" s="9" t="s">
        <v>116</v>
      </c>
    </row>
    <row r="10" spans="1:10" ht="106.2" thickBot="1">
      <c r="A10" s="3"/>
      <c r="B10" s="2">
        <v>4</v>
      </c>
      <c r="C10" s="121"/>
      <c r="D10" s="61" t="s">
        <v>31</v>
      </c>
      <c r="E10" s="61" t="s">
        <v>9</v>
      </c>
      <c r="F10" s="45"/>
      <c r="G10" s="62">
        <v>12</v>
      </c>
      <c r="H10" s="62">
        <f t="shared" si="0"/>
        <v>0</v>
      </c>
      <c r="I10" s="7" t="s">
        <v>92</v>
      </c>
      <c r="J10" s="7" t="s">
        <v>117</v>
      </c>
    </row>
    <row r="11" spans="1:10" ht="27" thickBot="1">
      <c r="A11" s="3"/>
      <c r="B11" s="8">
        <v>5</v>
      </c>
      <c r="C11" s="121"/>
      <c r="D11" s="59" t="s">
        <v>11</v>
      </c>
      <c r="E11" s="59" t="s">
        <v>9</v>
      </c>
      <c r="F11" s="45"/>
      <c r="G11" s="60">
        <v>20</v>
      </c>
      <c r="H11" s="60">
        <f t="shared" si="0"/>
        <v>0</v>
      </c>
      <c r="I11" s="9" t="s">
        <v>90</v>
      </c>
      <c r="J11" s="9" t="s">
        <v>118</v>
      </c>
    </row>
    <row r="12" spans="1:10" ht="35.1" customHeight="1" thickBot="1">
      <c r="A12" s="3"/>
      <c r="B12" s="13">
        <v>6</v>
      </c>
      <c r="C12" s="122"/>
      <c r="D12" s="63" t="s">
        <v>21</v>
      </c>
      <c r="E12" s="64" t="s">
        <v>10</v>
      </c>
      <c r="F12" s="46"/>
      <c r="G12" s="65">
        <v>10</v>
      </c>
      <c r="H12" s="65">
        <f t="shared" si="0"/>
        <v>0</v>
      </c>
      <c r="I12" s="4" t="s">
        <v>58</v>
      </c>
      <c r="J12" s="53" t="s">
        <v>119</v>
      </c>
    </row>
    <row r="13" spans="1:10" ht="90.75" customHeight="1" thickTop="1" thickBot="1">
      <c r="A13" s="3"/>
      <c r="B13" s="12">
        <v>7</v>
      </c>
      <c r="C13" s="123" t="s">
        <v>26</v>
      </c>
      <c r="D13" s="66" t="s">
        <v>22</v>
      </c>
      <c r="E13" s="66" t="s">
        <v>9</v>
      </c>
      <c r="F13" s="47"/>
      <c r="G13" s="67">
        <v>20</v>
      </c>
      <c r="H13" s="67">
        <f t="shared" si="0"/>
        <v>0</v>
      </c>
      <c r="I13" s="11" t="s">
        <v>111</v>
      </c>
      <c r="J13" s="21" t="s">
        <v>120</v>
      </c>
    </row>
    <row r="14" spans="1:10" ht="35.1" customHeight="1" thickBot="1">
      <c r="A14" s="3"/>
      <c r="B14" s="2">
        <v>8</v>
      </c>
      <c r="C14" s="124"/>
      <c r="D14" s="61" t="s">
        <v>38</v>
      </c>
      <c r="E14" s="61" t="s">
        <v>10</v>
      </c>
      <c r="F14" s="45"/>
      <c r="G14" s="62">
        <v>8</v>
      </c>
      <c r="H14" s="62">
        <f t="shared" si="0"/>
        <v>0</v>
      </c>
      <c r="I14" s="7" t="s">
        <v>57</v>
      </c>
      <c r="J14" s="7" t="s">
        <v>121</v>
      </c>
    </row>
    <row r="15" spans="1:10" ht="35.1" customHeight="1" thickBot="1">
      <c r="A15" s="3"/>
      <c r="B15" s="8">
        <v>9</v>
      </c>
      <c r="C15" s="124"/>
      <c r="D15" s="59" t="s">
        <v>39</v>
      </c>
      <c r="E15" s="59" t="s">
        <v>9</v>
      </c>
      <c r="F15" s="45"/>
      <c r="G15" s="60">
        <v>6</v>
      </c>
      <c r="H15" s="60">
        <f t="shared" si="0"/>
        <v>0</v>
      </c>
      <c r="I15" s="9" t="s">
        <v>54</v>
      </c>
      <c r="J15" s="9" t="s">
        <v>122</v>
      </c>
    </row>
    <row r="16" spans="1:10" ht="79.8" thickBot="1">
      <c r="A16" s="3"/>
      <c r="B16" s="13">
        <v>10</v>
      </c>
      <c r="C16" s="125"/>
      <c r="D16" s="63" t="s">
        <v>23</v>
      </c>
      <c r="E16" s="63" t="s">
        <v>9</v>
      </c>
      <c r="F16" s="48"/>
      <c r="G16" s="65">
        <v>25</v>
      </c>
      <c r="H16" s="65">
        <f t="shared" si="0"/>
        <v>0</v>
      </c>
      <c r="I16" s="14" t="s">
        <v>112</v>
      </c>
      <c r="J16" s="54" t="s">
        <v>123</v>
      </c>
    </row>
    <row r="17" spans="1:11" ht="40.799999999999997" thickTop="1" thickBot="1">
      <c r="A17" s="3"/>
      <c r="B17" s="15">
        <v>11</v>
      </c>
      <c r="C17" s="88" t="s">
        <v>41</v>
      </c>
      <c r="D17" s="68" t="s">
        <v>40</v>
      </c>
      <c r="E17" s="68" t="s">
        <v>9</v>
      </c>
      <c r="F17" s="49"/>
      <c r="G17" s="69">
        <v>17</v>
      </c>
      <c r="H17" s="69">
        <f t="shared" si="0"/>
        <v>0</v>
      </c>
      <c r="I17" s="16" t="s">
        <v>91</v>
      </c>
      <c r="J17" s="16" t="s">
        <v>124</v>
      </c>
    </row>
    <row r="18" spans="1:11" ht="65.25" customHeight="1" thickTop="1" thickBot="1">
      <c r="A18" s="3"/>
      <c r="B18" s="17">
        <v>12</v>
      </c>
      <c r="C18" s="123" t="s">
        <v>27</v>
      </c>
      <c r="D18" s="70" t="s">
        <v>55</v>
      </c>
      <c r="E18" s="70" t="s">
        <v>12</v>
      </c>
      <c r="F18" s="50"/>
      <c r="G18" s="71">
        <v>160</v>
      </c>
      <c r="H18" s="71">
        <f t="shared" si="0"/>
        <v>0</v>
      </c>
      <c r="I18" s="18" t="s">
        <v>100</v>
      </c>
      <c r="J18" s="55" t="s">
        <v>125</v>
      </c>
    </row>
    <row r="19" spans="1:11" ht="35.1" customHeight="1" thickBot="1">
      <c r="A19" s="3"/>
      <c r="B19" s="8">
        <v>13</v>
      </c>
      <c r="C19" s="124"/>
      <c r="D19" s="59" t="s">
        <v>25</v>
      </c>
      <c r="E19" s="59" t="s">
        <v>12</v>
      </c>
      <c r="F19" s="45"/>
      <c r="G19" s="60">
        <v>30</v>
      </c>
      <c r="H19" s="60">
        <f t="shared" si="0"/>
        <v>0</v>
      </c>
      <c r="I19" s="9" t="s">
        <v>99</v>
      </c>
      <c r="J19" s="9" t="s">
        <v>126</v>
      </c>
    </row>
    <row r="20" spans="1:11" ht="27" thickBot="1">
      <c r="A20" s="3"/>
      <c r="B20" s="2">
        <v>14</v>
      </c>
      <c r="C20" s="124"/>
      <c r="D20" s="61" t="s">
        <v>13</v>
      </c>
      <c r="E20" s="61" t="s">
        <v>12</v>
      </c>
      <c r="F20" s="45"/>
      <c r="G20" s="62">
        <v>25</v>
      </c>
      <c r="H20" s="62">
        <f t="shared" si="0"/>
        <v>0</v>
      </c>
      <c r="I20" s="7" t="s">
        <v>93</v>
      </c>
      <c r="J20" s="7" t="s">
        <v>127</v>
      </c>
    </row>
    <row r="21" spans="1:11" ht="35.1" customHeight="1" thickBot="1">
      <c r="A21" s="3"/>
      <c r="B21" s="19">
        <v>15</v>
      </c>
      <c r="C21" s="125"/>
      <c r="D21" s="72" t="s">
        <v>14</v>
      </c>
      <c r="E21" s="72" t="s">
        <v>12</v>
      </c>
      <c r="F21" s="48"/>
      <c r="G21" s="73">
        <v>25</v>
      </c>
      <c r="H21" s="73">
        <f t="shared" si="0"/>
        <v>0</v>
      </c>
      <c r="I21" s="10" t="s">
        <v>94</v>
      </c>
      <c r="J21" s="35" t="s">
        <v>128</v>
      </c>
    </row>
    <row r="22" spans="1:11" ht="65.25" customHeight="1" thickTop="1" thickBot="1">
      <c r="A22" s="3"/>
      <c r="B22" s="17">
        <v>16</v>
      </c>
      <c r="C22" s="126" t="s">
        <v>79</v>
      </c>
      <c r="D22" s="70" t="s">
        <v>76</v>
      </c>
      <c r="E22" s="70" t="s">
        <v>12</v>
      </c>
      <c r="F22" s="50"/>
      <c r="G22" s="71">
        <v>155</v>
      </c>
      <c r="H22" s="71">
        <f t="shared" si="0"/>
        <v>0</v>
      </c>
      <c r="I22" s="18" t="s">
        <v>101</v>
      </c>
      <c r="J22" s="18" t="s">
        <v>129</v>
      </c>
    </row>
    <row r="23" spans="1:11" ht="106.2" thickBot="1">
      <c r="A23" s="3"/>
      <c r="B23" s="8">
        <v>17</v>
      </c>
      <c r="C23" s="127"/>
      <c r="D23" s="59" t="s">
        <v>77</v>
      </c>
      <c r="E23" s="59" t="s">
        <v>12</v>
      </c>
      <c r="F23" s="45"/>
      <c r="G23" s="60">
        <v>155</v>
      </c>
      <c r="H23" s="60">
        <f t="shared" si="0"/>
        <v>0</v>
      </c>
      <c r="I23" s="9" t="s">
        <v>102</v>
      </c>
      <c r="J23" s="9" t="s">
        <v>130</v>
      </c>
    </row>
    <row r="24" spans="1:11" ht="40.200000000000003" thickBot="1">
      <c r="A24" s="3"/>
      <c r="B24" s="13">
        <v>18</v>
      </c>
      <c r="C24" s="128"/>
      <c r="D24" s="63" t="s">
        <v>15</v>
      </c>
      <c r="E24" s="63" t="s">
        <v>12</v>
      </c>
      <c r="F24" s="48"/>
      <c r="G24" s="65">
        <v>25</v>
      </c>
      <c r="H24" s="65">
        <f t="shared" si="0"/>
        <v>0</v>
      </c>
      <c r="I24" s="4" t="s">
        <v>56</v>
      </c>
      <c r="J24" s="4" t="s">
        <v>131</v>
      </c>
      <c r="K24" s="6"/>
    </row>
    <row r="25" spans="1:11" ht="35.25" customHeight="1" thickTop="1" thickBot="1">
      <c r="A25" s="3"/>
      <c r="B25" s="20">
        <v>19</v>
      </c>
      <c r="C25" s="129" t="s">
        <v>51</v>
      </c>
      <c r="D25" s="74" t="s">
        <v>50</v>
      </c>
      <c r="E25" s="74" t="s">
        <v>44</v>
      </c>
      <c r="F25" s="50"/>
      <c r="G25" s="75">
        <v>4</v>
      </c>
      <c r="H25" s="75">
        <f t="shared" si="0"/>
        <v>0</v>
      </c>
      <c r="I25" s="21" t="s">
        <v>59</v>
      </c>
      <c r="J25" s="21" t="s">
        <v>132</v>
      </c>
      <c r="K25" s="6"/>
    </row>
    <row r="26" spans="1:11" ht="35.25" customHeight="1" thickBot="1">
      <c r="A26" s="3"/>
      <c r="B26" s="36">
        <v>20</v>
      </c>
      <c r="C26" s="130"/>
      <c r="D26" s="76" t="s">
        <v>113</v>
      </c>
      <c r="E26" s="77" t="s">
        <v>44</v>
      </c>
      <c r="F26" s="51"/>
      <c r="G26" s="76">
        <v>5</v>
      </c>
      <c r="H26" s="76">
        <f t="shared" si="0"/>
        <v>0</v>
      </c>
      <c r="I26" s="37" t="s">
        <v>151</v>
      </c>
      <c r="J26" s="56" t="s">
        <v>131</v>
      </c>
      <c r="K26" s="6"/>
    </row>
    <row r="27" spans="1:11" ht="57" customHeight="1" thickTop="1" thickBot="1">
      <c r="A27" s="3"/>
      <c r="B27" s="15">
        <v>21</v>
      </c>
      <c r="C27" s="87" t="s">
        <v>45</v>
      </c>
      <c r="D27" s="68" t="s">
        <v>24</v>
      </c>
      <c r="E27" s="68" t="s">
        <v>12</v>
      </c>
      <c r="F27" s="52"/>
      <c r="G27" s="69">
        <v>30</v>
      </c>
      <c r="H27" s="69">
        <f t="shared" si="0"/>
        <v>0</v>
      </c>
      <c r="I27" s="16" t="s">
        <v>60</v>
      </c>
      <c r="J27" s="16" t="s">
        <v>133</v>
      </c>
      <c r="K27" s="6"/>
    </row>
    <row r="28" spans="1:11" ht="57" customHeight="1" thickTop="1" thickBot="1">
      <c r="A28" s="3"/>
      <c r="B28" s="38">
        <v>22</v>
      </c>
      <c r="C28" s="123" t="s">
        <v>16</v>
      </c>
      <c r="D28" s="78" t="s">
        <v>46</v>
      </c>
      <c r="E28" s="79" t="s">
        <v>10</v>
      </c>
      <c r="F28" s="50"/>
      <c r="G28" s="80">
        <v>90</v>
      </c>
      <c r="H28" s="80">
        <f t="shared" si="0"/>
        <v>0</v>
      </c>
      <c r="I28" s="39" t="s">
        <v>78</v>
      </c>
      <c r="J28" s="39" t="s">
        <v>134</v>
      </c>
      <c r="K28" s="6"/>
    </row>
    <row r="29" spans="1:11" ht="27" thickBot="1">
      <c r="A29" s="3"/>
      <c r="B29" s="12">
        <v>23</v>
      </c>
      <c r="C29" s="124"/>
      <c r="D29" s="59" t="s">
        <v>32</v>
      </c>
      <c r="E29" s="59" t="s">
        <v>12</v>
      </c>
      <c r="F29" s="45"/>
      <c r="G29" s="60">
        <v>80</v>
      </c>
      <c r="H29" s="60">
        <f t="shared" si="0"/>
        <v>0</v>
      </c>
      <c r="I29" s="9" t="s">
        <v>95</v>
      </c>
      <c r="J29" s="9" t="s">
        <v>135</v>
      </c>
    </row>
    <row r="30" spans="1:11" ht="40.200000000000003" thickBot="1">
      <c r="A30" s="3"/>
      <c r="B30" s="40">
        <v>24</v>
      </c>
      <c r="C30" s="124"/>
      <c r="D30" s="81" t="s">
        <v>28</v>
      </c>
      <c r="E30" s="81" t="s">
        <v>12</v>
      </c>
      <c r="F30" s="45"/>
      <c r="G30" s="82">
        <v>50</v>
      </c>
      <c r="H30" s="82">
        <f t="shared" si="0"/>
        <v>0</v>
      </c>
      <c r="I30" s="41" t="s">
        <v>96</v>
      </c>
      <c r="J30" s="41" t="s">
        <v>136</v>
      </c>
    </row>
    <row r="31" spans="1:11" ht="105.75" customHeight="1" thickBot="1">
      <c r="A31" s="3"/>
      <c r="B31" s="8">
        <v>25</v>
      </c>
      <c r="C31" s="124"/>
      <c r="D31" s="59" t="s">
        <v>29</v>
      </c>
      <c r="E31" s="59" t="s">
        <v>12</v>
      </c>
      <c r="F31" s="45"/>
      <c r="G31" s="60">
        <v>120</v>
      </c>
      <c r="H31" s="60">
        <f t="shared" si="0"/>
        <v>0</v>
      </c>
      <c r="I31" s="9" t="s">
        <v>103</v>
      </c>
      <c r="J31" s="35" t="s">
        <v>137</v>
      </c>
    </row>
    <row r="32" spans="1:11" ht="53.4" thickBot="1">
      <c r="A32" s="3"/>
      <c r="B32" s="40">
        <v>26</v>
      </c>
      <c r="C32" s="124"/>
      <c r="D32" s="81" t="s">
        <v>33</v>
      </c>
      <c r="E32" s="83" t="s">
        <v>10</v>
      </c>
      <c r="F32" s="45"/>
      <c r="G32" s="82">
        <v>15</v>
      </c>
      <c r="H32" s="82">
        <f t="shared" si="0"/>
        <v>0</v>
      </c>
      <c r="I32" s="41" t="s">
        <v>97</v>
      </c>
      <c r="J32" s="41" t="s">
        <v>138</v>
      </c>
    </row>
    <row r="33" spans="1:10" ht="53.4" thickBot="1">
      <c r="A33" s="3"/>
      <c r="B33" s="8">
        <v>27</v>
      </c>
      <c r="C33" s="124"/>
      <c r="D33" s="59" t="s">
        <v>34</v>
      </c>
      <c r="E33" s="84" t="s">
        <v>10</v>
      </c>
      <c r="F33" s="45"/>
      <c r="G33" s="60">
        <v>23</v>
      </c>
      <c r="H33" s="60">
        <f t="shared" si="0"/>
        <v>0</v>
      </c>
      <c r="I33" s="9" t="s">
        <v>98</v>
      </c>
      <c r="J33" s="9" t="s">
        <v>139</v>
      </c>
    </row>
    <row r="34" spans="1:10" ht="53.4" thickBot="1">
      <c r="A34" s="3"/>
      <c r="B34" s="40">
        <v>28</v>
      </c>
      <c r="C34" s="124"/>
      <c r="D34" s="81" t="s">
        <v>61</v>
      </c>
      <c r="E34" s="81" t="s">
        <v>12</v>
      </c>
      <c r="F34" s="45"/>
      <c r="G34" s="82">
        <v>15</v>
      </c>
      <c r="H34" s="82">
        <f t="shared" si="0"/>
        <v>0</v>
      </c>
      <c r="I34" s="41" t="s">
        <v>66</v>
      </c>
      <c r="J34" s="41" t="s">
        <v>140</v>
      </c>
    </row>
    <row r="35" spans="1:10" ht="40.200000000000003" thickBot="1">
      <c r="A35" s="3"/>
      <c r="B35" s="8">
        <v>29</v>
      </c>
      <c r="C35" s="124"/>
      <c r="D35" s="59" t="s">
        <v>72</v>
      </c>
      <c r="E35" s="59" t="s">
        <v>12</v>
      </c>
      <c r="F35" s="45"/>
      <c r="G35" s="60">
        <v>150</v>
      </c>
      <c r="H35" s="60">
        <f t="shared" si="0"/>
        <v>0</v>
      </c>
      <c r="I35" s="9" t="s">
        <v>73</v>
      </c>
      <c r="J35" s="9" t="s">
        <v>141</v>
      </c>
    </row>
    <row r="36" spans="1:10" ht="79.8" thickBot="1">
      <c r="A36" s="3"/>
      <c r="B36" s="36">
        <v>30</v>
      </c>
      <c r="C36" s="125"/>
      <c r="D36" s="85" t="s">
        <v>65</v>
      </c>
      <c r="E36" s="85" t="s">
        <v>12</v>
      </c>
      <c r="F36" s="48"/>
      <c r="G36" s="86">
        <v>140</v>
      </c>
      <c r="H36" s="86">
        <f t="shared" si="0"/>
        <v>0</v>
      </c>
      <c r="I36" s="37" t="s">
        <v>104</v>
      </c>
      <c r="J36" s="37" t="s">
        <v>142</v>
      </c>
    </row>
    <row r="37" spans="1:10" ht="65.25" customHeight="1" thickTop="1" thickBot="1">
      <c r="A37" s="3"/>
      <c r="B37" s="33">
        <v>31</v>
      </c>
      <c r="C37" s="126" t="s">
        <v>35</v>
      </c>
      <c r="D37" s="74" t="s">
        <v>36</v>
      </c>
      <c r="E37" s="74" t="s">
        <v>47</v>
      </c>
      <c r="F37" s="47"/>
      <c r="G37" s="75">
        <v>12</v>
      </c>
      <c r="H37" s="75">
        <f t="shared" si="0"/>
        <v>0</v>
      </c>
      <c r="I37" s="21" t="s">
        <v>67</v>
      </c>
      <c r="J37" s="21" t="s">
        <v>143</v>
      </c>
    </row>
    <row r="38" spans="1:10" ht="53.4" thickBot="1">
      <c r="A38" s="3"/>
      <c r="B38" s="42">
        <v>32</v>
      </c>
      <c r="C38" s="127"/>
      <c r="D38" s="81" t="s">
        <v>70</v>
      </c>
      <c r="E38" s="83" t="s">
        <v>10</v>
      </c>
      <c r="F38" s="45"/>
      <c r="G38" s="82">
        <v>6</v>
      </c>
      <c r="H38" s="82">
        <f t="shared" si="0"/>
        <v>0</v>
      </c>
      <c r="I38" s="41" t="s">
        <v>68</v>
      </c>
      <c r="J38" s="41" t="s">
        <v>144</v>
      </c>
    </row>
    <row r="39" spans="1:10" ht="35.1" customHeight="1" thickBot="1">
      <c r="A39" s="3"/>
      <c r="B39" s="34">
        <v>33</v>
      </c>
      <c r="C39" s="127"/>
      <c r="D39" s="59" t="s">
        <v>62</v>
      </c>
      <c r="E39" s="59" t="s">
        <v>63</v>
      </c>
      <c r="F39" s="45"/>
      <c r="G39" s="60">
        <v>75</v>
      </c>
      <c r="H39" s="60">
        <f t="shared" si="0"/>
        <v>0</v>
      </c>
      <c r="I39" s="9" t="s">
        <v>64</v>
      </c>
      <c r="J39" s="9" t="s">
        <v>145</v>
      </c>
    </row>
    <row r="40" spans="1:10" ht="93" thickBot="1">
      <c r="A40" s="3"/>
      <c r="B40" s="43">
        <v>34</v>
      </c>
      <c r="C40" s="127"/>
      <c r="D40" s="81" t="s">
        <v>37</v>
      </c>
      <c r="E40" s="81" t="s">
        <v>47</v>
      </c>
      <c r="F40" s="45"/>
      <c r="G40" s="82">
        <v>15</v>
      </c>
      <c r="H40" s="82">
        <f t="shared" si="0"/>
        <v>0</v>
      </c>
      <c r="I40" s="41" t="s">
        <v>69</v>
      </c>
      <c r="J40" s="41" t="s">
        <v>146</v>
      </c>
    </row>
    <row r="41" spans="1:10" ht="66.599999999999994" thickBot="1">
      <c r="A41" s="3"/>
      <c r="B41" s="33">
        <v>35</v>
      </c>
      <c r="C41" s="127"/>
      <c r="D41" s="59" t="s">
        <v>71</v>
      </c>
      <c r="E41" s="59" t="s">
        <v>12</v>
      </c>
      <c r="F41" s="45"/>
      <c r="G41" s="60">
        <v>150</v>
      </c>
      <c r="H41" s="60">
        <f t="shared" si="0"/>
        <v>0</v>
      </c>
      <c r="I41" s="9" t="s">
        <v>107</v>
      </c>
      <c r="J41" s="9" t="s">
        <v>147</v>
      </c>
    </row>
    <row r="42" spans="1:10" ht="35.25" customHeight="1" thickBot="1">
      <c r="A42" s="3"/>
      <c r="B42" s="44">
        <v>36</v>
      </c>
      <c r="C42" s="128"/>
      <c r="D42" s="85" t="s">
        <v>74</v>
      </c>
      <c r="E42" s="85" t="s">
        <v>12</v>
      </c>
      <c r="F42" s="45"/>
      <c r="G42" s="86">
        <v>20</v>
      </c>
      <c r="H42" s="86">
        <f t="shared" si="0"/>
        <v>0</v>
      </c>
      <c r="I42" s="37" t="s">
        <v>75</v>
      </c>
      <c r="J42" s="37" t="s">
        <v>148</v>
      </c>
    </row>
    <row r="43" spans="1:10" ht="40.799999999999997" thickTop="1" thickBot="1">
      <c r="B43" s="33">
        <v>37</v>
      </c>
      <c r="C43" s="89" t="s">
        <v>105</v>
      </c>
      <c r="D43" s="68" t="s">
        <v>108</v>
      </c>
      <c r="E43" s="68" t="s">
        <v>106</v>
      </c>
      <c r="F43" s="52"/>
      <c r="G43" s="69">
        <v>130</v>
      </c>
      <c r="H43" s="69">
        <f t="shared" si="0"/>
        <v>0</v>
      </c>
      <c r="I43" s="35" t="s">
        <v>109</v>
      </c>
      <c r="J43" s="57" t="s">
        <v>152</v>
      </c>
    </row>
    <row r="44" spans="1:10" ht="44.25" customHeight="1" thickTop="1" thickBot="1">
      <c r="B44" s="135" t="s">
        <v>17</v>
      </c>
      <c r="C44" s="136"/>
      <c r="D44" s="137"/>
      <c r="E44" s="138">
        <f>SUM(H7:H43)</f>
        <v>0</v>
      </c>
      <c r="F44" s="139"/>
      <c r="G44" s="139"/>
      <c r="H44" s="140"/>
      <c r="I44" s="111" t="s">
        <v>110</v>
      </c>
      <c r="J44" s="112"/>
    </row>
    <row r="45" spans="1:10" ht="45" customHeight="1" thickTop="1" thickBot="1">
      <c r="B45" s="113" t="s">
        <v>81</v>
      </c>
      <c r="C45" s="114"/>
      <c r="D45" s="115"/>
      <c r="E45" s="116">
        <f>E44*0.6</f>
        <v>0</v>
      </c>
      <c r="F45" s="117"/>
      <c r="G45" s="118"/>
      <c r="H45" s="58" t="s">
        <v>82</v>
      </c>
      <c r="I45" s="119">
        <f>E44*0.4</f>
        <v>0</v>
      </c>
      <c r="J45" s="120"/>
    </row>
    <row r="46" spans="1:10" ht="16.2" thickTop="1"/>
  </sheetData>
  <mergeCells count="21">
    <mergeCell ref="I44:J44"/>
    <mergeCell ref="B45:D45"/>
    <mergeCell ref="E45:G45"/>
    <mergeCell ref="I45:J45"/>
    <mergeCell ref="C7:C12"/>
    <mergeCell ref="C13:C16"/>
    <mergeCell ref="C18:C21"/>
    <mergeCell ref="C22:C24"/>
    <mergeCell ref="C25:C26"/>
    <mergeCell ref="C28:C36"/>
    <mergeCell ref="C37:C42"/>
    <mergeCell ref="B44:D44"/>
    <mergeCell ref="E44:H44"/>
    <mergeCell ref="B2:J2"/>
    <mergeCell ref="I3:J3"/>
    <mergeCell ref="B4:J4"/>
    <mergeCell ref="B5:B6"/>
    <mergeCell ref="C5:D5"/>
    <mergeCell ref="C6:D6"/>
    <mergeCell ref="B3:F3"/>
    <mergeCell ref="G3:H3"/>
  </mergeCells>
  <printOptions horizontalCentered="1" verticalCentered="1"/>
  <pageMargins left="0" right="0" top="0" bottom="0" header="0" footer="0"/>
  <pageSetup paperSize="9" scale="48" orientation="portrait" r:id="rId1"/>
  <rowBreaks count="1" manualBreakCount="1">
    <brk id="24" max="9" man="1"/>
  </rowBreaks>
  <customProperties>
    <customPr name="EpmWorksheetKeyString_GUI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rightToLeft="1" workbookViewId="0">
      <selection activeCell="G18" sqref="G18"/>
    </sheetView>
  </sheetViews>
  <sheetFormatPr defaultRowHeight="13.8"/>
  <sheetData/>
  <pageMargins left="0.7" right="0.7" top="0.75" bottom="0.75" header="0.3" footer="0.3"/>
  <customProperties>
    <customPr name="EpmWorksheetKeyString_GUID" r:id="rId1"/>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rightToLeft="1" workbookViewId="0">
      <selection activeCell="E21" sqref="E21"/>
    </sheetView>
  </sheetViews>
  <sheetFormatPr defaultRowHeight="13.8"/>
  <sheetData/>
  <pageMargins left="0.7" right="0.7" top="0.75" bottom="0.75" header="0.3" footer="0.3"/>
  <customProperties>
    <customPr name="EpmWorksheetKeyString_GUID" r:id="rId1"/>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rightToLeft="1" workbookViewId="0">
      <selection activeCell="H18" sqref="H18"/>
    </sheetView>
  </sheetViews>
  <sheetFormatPr defaultRowHeight="13.8"/>
  <sheetData/>
  <pageMargins left="0.7" right="0.7" top="0.75" bottom="0.75" header="0.3" footer="0.3"/>
  <customProperties>
    <customPr name="EpmWorksheetKeyString_GUID" r:id="rId1"/>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rightToLeft="1" workbookViewId="0">
      <selection activeCell="H19" sqref="H19"/>
    </sheetView>
  </sheetViews>
  <sheetFormatPr defaultRowHeight="13.8"/>
  <sheetData/>
  <pageMargins left="0.7" right="0.7" top="0.75" bottom="0.75" header="0.3" footer="0.3"/>
  <customProperties>
    <customPr name="EpmWorksheetKeyString_GUID"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
  <sheetViews>
    <sheetView rightToLeft="1" zoomScaleNormal="100" workbookViewId="0">
      <selection activeCell="B5" sqref="B5"/>
    </sheetView>
  </sheetViews>
  <sheetFormatPr defaultRowHeight="13.8"/>
  <cols>
    <col min="1" max="1" width="3.8984375" customWidth="1"/>
    <col min="2" max="2" width="28.296875" customWidth="1"/>
    <col min="3" max="3" width="11.296875" customWidth="1"/>
    <col min="4" max="4" width="35.69921875" customWidth="1"/>
    <col min="5" max="5" width="26.3984375" customWidth="1"/>
  </cols>
  <sheetData>
    <row r="1" spans="1:5" ht="14.4" thickBot="1"/>
    <row r="2" spans="1:5" ht="33" customHeight="1" thickBot="1">
      <c r="B2" s="24" t="s">
        <v>83</v>
      </c>
      <c r="C2" s="25"/>
      <c r="D2" s="25"/>
      <c r="E2" s="26"/>
    </row>
    <row r="3" spans="1:5" ht="18" thickTop="1">
      <c r="A3" s="32"/>
      <c r="B3" s="141" t="s">
        <v>84</v>
      </c>
      <c r="C3" s="30" t="s">
        <v>86</v>
      </c>
      <c r="D3" s="30"/>
      <c r="E3" s="143" t="s">
        <v>85</v>
      </c>
    </row>
    <row r="4" spans="1:5" ht="18" thickBot="1">
      <c r="A4" s="32"/>
      <c r="B4" s="142"/>
      <c r="C4" s="31" t="s">
        <v>87</v>
      </c>
      <c r="D4" s="31" t="s">
        <v>88</v>
      </c>
      <c r="E4" s="144"/>
    </row>
    <row r="5" spans="1:5" ht="45.75" customHeight="1" thickTop="1" thickBot="1">
      <c r="B5" s="27" t="e">
        <f>#REF!</f>
        <v>#REF!</v>
      </c>
      <c r="C5" s="28"/>
      <c r="D5" s="28" t="s">
        <v>153</v>
      </c>
      <c r="E5" s="29"/>
    </row>
    <row r="6" spans="1:5" ht="15">
      <c r="B6" s="23"/>
      <c r="C6" s="23"/>
      <c r="D6" s="23"/>
      <c r="E6" s="23"/>
    </row>
    <row r="7" spans="1:5" ht="15">
      <c r="B7" s="23"/>
      <c r="C7" s="23"/>
      <c r="D7" s="23"/>
      <c r="E7" s="23"/>
    </row>
    <row r="8" spans="1:5" ht="15">
      <c r="B8" s="23"/>
      <c r="C8" s="23"/>
      <c r="D8" s="23"/>
      <c r="E8" s="23"/>
    </row>
    <row r="9" spans="1:5" ht="15">
      <c r="B9" s="23"/>
      <c r="C9" s="23"/>
      <c r="D9" s="23"/>
      <c r="E9" s="23"/>
    </row>
    <row r="10" spans="1:5" ht="15">
      <c r="B10" s="23"/>
      <c r="C10" s="23"/>
      <c r="D10" s="23"/>
      <c r="E10" s="23"/>
    </row>
    <row r="11" spans="1:5" ht="15">
      <c r="B11" s="23"/>
      <c r="C11" s="23"/>
      <c r="D11" s="23"/>
      <c r="E11" s="23"/>
    </row>
    <row r="12" spans="1:5" ht="17.399999999999999">
      <c r="B12" s="22"/>
      <c r="C12" s="22"/>
      <c r="D12" s="22"/>
      <c r="E12" s="22"/>
    </row>
    <row r="13" spans="1:5" ht="17.399999999999999">
      <c r="B13" s="22"/>
      <c r="C13" s="22"/>
      <c r="D13" s="22"/>
      <c r="E13" s="22"/>
    </row>
    <row r="14" spans="1:5" ht="17.399999999999999">
      <c r="B14" s="22"/>
      <c r="C14" s="22"/>
      <c r="D14" s="22"/>
      <c r="E14" s="22"/>
    </row>
    <row r="15" spans="1:5" ht="17.399999999999999">
      <c r="B15" s="22"/>
      <c r="C15" s="22"/>
      <c r="D15" s="22"/>
      <c r="E15" s="22"/>
    </row>
  </sheetData>
  <mergeCells count="2">
    <mergeCell ref="B3:B4"/>
    <mergeCell ref="E3:E4"/>
  </mergeCells>
  <printOptions horizontalCentered="1"/>
  <pageMargins left="0" right="0" top="1" bottom="0" header="0.5" footer="0"/>
  <pageSetup paperSize="9" scale="80" orientation="portrait" r:id="rId1"/>
  <customProperties>
    <customPr name="EpmWorksheetKeyString_GUID" r:id="rId2"/>
  </customProperties>
</worksheet>
</file>

<file path=xl/worksheets/sheet7.xml><?xml version="1.0" encoding="utf-8"?>
<worksheet xmlns="http://schemas.openxmlformats.org/spreadsheetml/2006/main">
  <sheetPr>
    <outlinePr summaryBelow="1" summaryRight="1"/>
    <pageSetUpPr/>
  </sheetPr>
  <dimension ref="A1:H30"/>
  <sheetViews>
    <sheetView rightToLeft="1" workbookViewId="0">
      <selection activeCell="A1" sqref="A1"/>
    </sheetView>
  </sheetViews>
  <sheetFormatPr baseColWidth="8" defaultRowHeight="15"/>
  <cols>
    <col width="30" customWidth="1" min="1" max="1"/>
    <col width="16" customWidth="1" min="2" max="2"/>
    <col width="32" customWidth="1" min="3" max="3"/>
    <col width="16" customWidth="1" min="4" max="4"/>
    <col width="16" customWidth="1" min="5" max="5"/>
    <col width="16" customWidth="1" min="6" max="6"/>
    <col width="14" customWidth="1" min="7" max="7"/>
    <col width="10" customWidth="1" min="8" max="8"/>
  </cols>
  <sheetData>
    <row r="1">
      <c r="A1" s="146" t="inlineStr">
        <is>
          <t>نموذج تقييم لمنزل السيد/ة</t>
        </is>
      </c>
      <c r="D1" s="147"/>
      <c r="E1" s="148" t="inlineStr">
        <is>
          <t>المهندس/ة - الباحث/ة الاجتماعي/ة</t>
        </is>
      </c>
      <c r="G1" s="149"/>
    </row>
    <row r="2">
      <c r="A2" s="150" t="inlineStr">
        <is>
          <t>1. معلومات عامة</t>
        </is>
      </c>
    </row>
    <row r="3">
      <c r="A3" s="151" t="inlineStr">
        <is>
          <t>البلد:</t>
        </is>
      </c>
      <c r="B3" s="152" t="inlineStr">
        <is>
          <t>Syria</t>
        </is>
      </c>
      <c r="C3" s="151" t="inlineStr">
        <is>
          <t>عمر رب/ة الاسرة بالسنوات:</t>
        </is>
      </c>
      <c r="D3" s="153"/>
      <c r="E3" s="151" t="inlineStr">
        <is>
          <t>جنس رب/ة الاسرة:</t>
        </is>
      </c>
      <c r="F3" s="153"/>
    </row>
    <row r="4">
      <c r="A4" s="151" t="inlineStr">
        <is>
          <t>المخيم:</t>
        </is>
      </c>
      <c r="B4" s="152" t="inlineStr">
        <is>
          <t>Yarmouk</t>
        </is>
      </c>
      <c r="C4" s="151" t="inlineStr">
        <is>
          <t>الحالة العائلية لرب/ة الاسرة:</t>
        </is>
      </c>
      <c r="D4" s="153"/>
      <c r="E4" s="151" t="inlineStr">
        <is>
          <t>السكن الحالي:</t>
        </is>
      </c>
      <c r="F4" s="153"/>
    </row>
    <row r="5">
      <c r="A5" s="151" t="inlineStr">
        <is>
          <t>اسم رب/ة الاسرة:</t>
        </is>
      </c>
      <c r="B5" s="153"/>
      <c r="C5" s="151" t="inlineStr">
        <is>
          <t>اذا رب الاسرة متزوج من إمراة ثانية:</t>
        </is>
      </c>
      <c r="D5" s="153"/>
    </row>
    <row r="6">
      <c r="A6" s="151" t="inlineStr">
        <is>
          <t>رقم العائلة:</t>
        </is>
      </c>
      <c r="B6" s="153"/>
      <c r="C6" s="151" t="inlineStr">
        <is>
          <t>وضع ملكية البيت:</t>
        </is>
      </c>
      <c r="D6" s="153"/>
      <c r="E6" s="151" t="inlineStr">
        <is>
          <t>اوراق الملكية المتوفرة:</t>
        </is>
      </c>
      <c r="F6" s="153"/>
    </row>
    <row r="7">
      <c r="A7" s="151" t="inlineStr">
        <is>
          <t>رقم التسجيل في الكرت الابيض لرب العائلة:</t>
        </is>
      </c>
      <c r="B7" s="153"/>
      <c r="C7" s="151" t="inlineStr">
        <is>
          <t>رقم تعريف قطعة الأرض:</t>
        </is>
      </c>
      <c r="D7" s="153"/>
      <c r="E7" s="151" t="inlineStr">
        <is>
          <t>العنوان:</t>
        </is>
      </c>
      <c r="F7" s="152" t="inlineStr">
        <is>
          <t>مخيم اليرموك</t>
        </is>
      </c>
    </row>
    <row r="8">
      <c r="A8" s="151" t="inlineStr">
        <is>
          <t>رقم السجل/ رقم الليدجر:</t>
        </is>
      </c>
      <c r="B8" s="153"/>
      <c r="C8" s="151" t="inlineStr">
        <is>
          <t>رقم المسكن:</t>
        </is>
      </c>
      <c r="D8" s="153"/>
      <c r="E8" s="151" t="inlineStr">
        <is>
          <t>اسم الشارع:</t>
        </is>
      </c>
      <c r="F8" s="153"/>
    </row>
    <row r="9">
      <c r="A9" s="151" t="inlineStr">
        <is>
          <t>عدد افراد الاسرة المسجلين:</t>
        </is>
      </c>
      <c r="B9" s="153"/>
      <c r="C9" s="151" t="inlineStr">
        <is>
          <t>رقم الجوال 1:</t>
        </is>
      </c>
      <c r="D9" s="153"/>
      <c r="E9" s="151" t="inlineStr">
        <is>
          <t>عنوان المنزل:</t>
        </is>
      </c>
      <c r="F9" s="153"/>
    </row>
    <row r="10">
      <c r="A10" s="151" t="inlineStr">
        <is>
          <t>رقم الهوية الوطني ل رب/ة الاسرة:</t>
        </is>
      </c>
      <c r="B10" s="153"/>
      <c r="C10" s="151" t="inlineStr">
        <is>
          <t>رقم الجوال 2:</t>
        </is>
      </c>
      <c r="D10" s="153"/>
      <c r="E10" s="151" t="inlineStr">
        <is>
          <t>الطابق:</t>
        </is>
      </c>
      <c r="F10" s="153"/>
    </row>
    <row r="11">
      <c r="A11" s="150" t="inlineStr">
        <is>
          <t>المعايير والتعليمات</t>
        </is>
      </c>
      <c r="B11" s="150" t="inlineStr">
        <is>
          <t>فئات الأجوبة</t>
        </is>
      </c>
      <c r="C11" s="150" t="inlineStr">
        <is>
          <t>A</t>
        </is>
      </c>
      <c r="D11" s="150" t="inlineStr">
        <is>
          <t>B</t>
        </is>
      </c>
      <c r="E11" s="150" t="inlineStr">
        <is>
          <t>C</t>
        </is>
      </c>
      <c r="F11" s="150" t="inlineStr">
        <is>
          <t>D</t>
        </is>
      </c>
      <c r="G11" s="150" t="inlineStr">
        <is>
          <t>النتيجة القصوى</t>
        </is>
      </c>
    </row>
    <row r="12">
      <c r="A12" s="150" t="inlineStr">
        <is>
          <t>2. التقييم الصحي والاجتماعي</t>
        </is>
      </c>
      <c r="G12" s="147"/>
      <c r="H12" s="154" t="n">
        <v>40</v>
      </c>
    </row>
    <row r="13">
      <c r="A13" s="150" t="inlineStr">
        <is>
          <t>2.1 الوضع الصحي</t>
        </is>
      </c>
      <c r="G13" s="147"/>
    </row>
    <row r="14">
      <c r="A14" s="155" t="inlineStr">
        <is>
          <t>2.1.1 عدد الأشخاص المصابين بأمراض مزمنة (السرطان، الربو، أمراض الجهاز التنفسي باستثناء مرضى السكري وضغط الدم)</t>
        </is>
      </c>
      <c r="G14" s="147"/>
      <c r="H14" s="154" t="n">
        <v>4</v>
      </c>
    </row>
    <row r="15">
      <c r="A15" s="155" t="inlineStr">
        <is>
          <t>2.1.2 عدد الأشخاص المصابين بمرض عقلي حاد أو ما شابه ذلك (الحالات المعتمدة)</t>
        </is>
      </c>
      <c r="G15" s="147"/>
      <c r="H15" s="154" t="n">
        <v>4</v>
      </c>
    </row>
    <row r="16">
      <c r="A16" s="150" t="inlineStr">
        <is>
          <t>2.2 الوضع الاجتماعي</t>
        </is>
      </c>
      <c r="G16" s="147"/>
    </row>
    <row r="17">
      <c r="A17" s="155" t="inlineStr">
        <is>
          <t>2.2.1 تقييم حالة ضعف الاسرة (رب الأسرة فوق 60/طفل تحت 18/ذوي احتياجات خاصة/امرأة...)</t>
        </is>
      </c>
      <c r="G17" s="147"/>
      <c r="H17" s="154" t="n">
        <v>8</v>
      </c>
    </row>
    <row r="18">
      <c r="A18" s="155" t="inlineStr">
        <is>
          <t>2.2.2 عدد افراد الاسرة الذين ينامون بغرفة نوم واحدة</t>
        </is>
      </c>
      <c r="G18" s="147"/>
      <c r="H18" s="154" t="n">
        <v>6</v>
      </c>
    </row>
    <row r="19">
      <c r="A19" s="155" t="inlineStr">
        <is>
          <t>2.2.3 هل يوجد فصل بين الجنسين لعمر فوق 10 سنوات</t>
        </is>
      </c>
      <c r="G19" s="147"/>
      <c r="H19" s="154" t="n">
        <v>5</v>
      </c>
    </row>
    <row r="20">
      <c r="A20" s="155" t="inlineStr">
        <is>
          <t>2.2.4 هل للأسرة دخل منتظم؟</t>
        </is>
      </c>
      <c r="G20" s="147"/>
      <c r="H20" s="154" t="n">
        <v>4</v>
      </c>
    </row>
    <row r="21">
      <c r="A21" s="150" t="inlineStr">
        <is>
          <t>3. التقييم المادي</t>
        </is>
      </c>
      <c r="G21" s="147"/>
      <c r="H21" s="154" t="n">
        <v>60</v>
      </c>
    </row>
    <row r="22">
      <c r="A22" s="155" t="inlineStr">
        <is>
          <t>3.1 سلامة هيكل البيت (الانحراف / التكسير / التفلطح / الاستقرار)</t>
        </is>
      </c>
      <c r="C22" s="156"/>
      <c r="D22" s="156"/>
      <c r="E22" s="156"/>
      <c r="F22" s="156"/>
      <c r="G22" s="147"/>
      <c r="H22" s="154" t="n">
        <v>40</v>
      </c>
    </row>
    <row r="23">
      <c r="A23" s="150" t="inlineStr">
        <is>
          <t>3.2 الظروف الأخرى للبيت (بشكل جزئي)</t>
        </is>
      </c>
      <c r="G23" s="147"/>
    </row>
    <row r="24">
      <c r="A24" s="155" t="inlineStr">
        <is>
          <t>3.2.1 حالة المرحاض (النظافة والمساحة)</t>
        </is>
      </c>
      <c r="G24" s="147"/>
      <c r="H24" s="154" t="n">
        <v>5</v>
      </c>
    </row>
    <row r="25">
      <c r="A25" s="155" t="inlineStr">
        <is>
          <t>3.2.2 حالة المطبخ (النظافة والمساحة)</t>
        </is>
      </c>
      <c r="G25" s="147"/>
      <c r="H25" s="154" t="n">
        <v>4</v>
      </c>
    </row>
    <row r="26">
      <c r="A26" s="155" t="inlineStr">
        <is>
          <t>3.2.3 جودة تهوية المأوى والإضاءة</t>
        </is>
      </c>
      <c r="G26" s="147"/>
      <c r="H26" s="154" t="n">
        <v>8</v>
      </c>
    </row>
    <row r="27">
      <c r="A27" s="155" t="inlineStr">
        <is>
          <t>3.2.4 مؤشرات الرطوبة في البيت</t>
        </is>
      </c>
      <c r="G27" s="147"/>
      <c r="H27" s="154" t="n">
        <v>8</v>
      </c>
    </row>
    <row r="28">
      <c r="A28" s="155" t="inlineStr">
        <is>
          <t>3.2.5 طريقة وصل البيت بشبكة الصرف الصحي</t>
        </is>
      </c>
      <c r="G28" s="147"/>
      <c r="H28" s="154" t="n">
        <v>5</v>
      </c>
    </row>
    <row r="29">
      <c r="A29" s="157" t="inlineStr">
        <is>
          <t>النتيجة الاجمالية النهائية (من 100)</t>
        </is>
      </c>
      <c r="G29" s="158"/>
    </row>
    <row r="30">
      <c r="A30" s="159" t="inlineStr">
        <is>
          <t>مصدر البيانات: استمارة تقييم كوبو 2026 — قيم منسوخة تلقائيًا من نسخة مستوردة على هذا الجهاز، بدون أي ربط حي.</t>
        </is>
      </c>
    </row>
  </sheetData>
  <mergeCells count="9">
    <mergeCell ref="A16:F16"/>
    <mergeCell ref="A1:C1"/>
    <mergeCell ref="A13:F13"/>
    <mergeCell ref="E1:F1"/>
    <mergeCell ref="A23:F23"/>
    <mergeCell ref="A2:G2"/>
    <mergeCell ref="A12:F12"/>
    <mergeCell ref="A21:F21"/>
    <mergeCell ref="A29:F29"/>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2E9EA7FEDBC2B47B1BB5C1A5E1D6611" ma:contentTypeVersion="17" ma:contentTypeDescription="Create a new document." ma:contentTypeScope="" ma:versionID="5d390b9e31cab3c913f6315b6da75808">
  <xsd:schema xmlns:xsd="http://www.w3.org/2001/XMLSchema" xmlns:xs="http://www.w3.org/2001/XMLSchema" xmlns:p="http://schemas.microsoft.com/office/2006/metadata/properties" xmlns:ns3="ae0eac29-bff3-4a8c-bb5e-8697060638a2" xmlns:ns4="bcae0f81-df23-4fab-9ba2-367c4d4a590c" targetNamespace="http://schemas.microsoft.com/office/2006/metadata/properties" ma:root="true" ma:fieldsID="bd01a87fa795c8ff6d80afaf1d0f7222" ns3:_="" ns4:_="">
    <xsd:import namespace="ae0eac29-bff3-4a8c-bb5e-8697060638a2"/>
    <xsd:import namespace="bcae0f81-df23-4fab-9ba2-367c4d4a590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ObjectDetectorVersions" minOccurs="0"/>
                <xsd:element ref="ns3:_activity" minOccurs="0"/>
                <xsd:element ref="ns3:MediaServiceSearchProperties" minOccurs="0"/>
                <xsd:element ref="ns3:MediaServiceSystemTag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0eac29-bff3-4a8c-bb5e-8697060638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_activity" ma:index="21" nillable="true" ma:displayName="_activity" ma:hidden="true" ma:internalName="_activity">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SystemTags" ma:index="23" nillable="true" ma:displayName="MediaServiceSystemTags" ma:hidden="true" ma:internalName="MediaServiceSystemTag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cae0f81-df23-4fab-9ba2-367c4d4a590c"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ae0eac29-bff3-4a8c-bb5e-8697060638a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808A01-A381-431B-A584-CA5B63CBE5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0eac29-bff3-4a8c-bb5e-8697060638a2"/>
    <ds:schemaRef ds:uri="bcae0f81-df23-4fab-9ba2-367c4d4a590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3833E5-B015-47D7-A11F-D35C87191AE5}">
  <ds:schemaRefs>
    <ds:schemaRef ds:uri="http://purl.org/dc/elements/1.1/"/>
    <ds:schemaRef ds:uri="http://purl.org/dc/dcmitype/"/>
    <ds:schemaRef ds:uri="ae0eac29-bff3-4a8c-bb5e-8697060638a2"/>
    <ds:schemaRef ds:uri="http://schemas.microsoft.com/office/2006/documentManagement/types"/>
    <ds:schemaRef ds:uri="http://schemas.microsoft.com/office/infopath/2007/PartnerControls"/>
    <ds:schemaRef ds:uri="http://purl.org/dc/terms/"/>
    <ds:schemaRef ds:uri="http://schemas.microsoft.com/office/2006/metadata/properties"/>
    <ds:schemaRef ds:uri="http://schemas.openxmlformats.org/package/2006/metadata/core-properties"/>
    <ds:schemaRef ds:uri="bcae0f81-df23-4fab-9ba2-367c4d4a590c"/>
    <ds:schemaRef ds:uri="http://www.w3.org/XML/1998/namespace"/>
  </ds:schemaRefs>
</ds:datastoreItem>
</file>

<file path=customXml/itemProps3.xml><?xml version="1.0" encoding="utf-8"?>
<ds:datastoreItem xmlns:ds="http://schemas.openxmlformats.org/officeDocument/2006/customXml" ds:itemID="{0F771EC2-F81B-4A8A-A059-DFB4F5061CB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الكميات  </vt:lpstr>
      <vt:lpstr>المخطط</vt:lpstr>
      <vt:lpstr>الوثائق</vt:lpstr>
      <vt:lpstr>صور قبل الترميم</vt:lpstr>
      <vt:lpstr>صور بعد الترميم</vt:lpstr>
      <vt:lpstr>نسبة الإنجاز</vt:lpstr>
      <vt:lpstr>'الكميات  '!Print_Area</vt:lpstr>
      <vt:lpstr>'الكميات  '!Print_Titles</vt:lpstr>
    </vt:vector>
  </TitlesOfParts>
  <Company>UNRWA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ODEH, Mohammad</cp:lastModifiedBy>
  <cp:lastPrinted>2026-07-07T07:06:27Z</cp:lastPrinted>
  <dcterms:created xsi:type="dcterms:W3CDTF">2025-02-03T09:26:33Z</dcterms:created>
  <dcterms:modified xsi:type="dcterms:W3CDTF">2026-07-20T08:46:58Z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0x010100B2E9EA7FEDBC2B47B1BB5C1A5E1D6611</vt:lpwstr>
  </property>
</Properties>
</file>