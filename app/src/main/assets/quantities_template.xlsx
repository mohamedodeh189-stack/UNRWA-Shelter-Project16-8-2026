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68" yWindow="768" windowWidth="17280" windowHeight="8964" tabRatio="600" firstSheet="0" activeTab="0" autoFilterDateGrouping="1"/>
  </bookViews>
  <sheets>
    <sheet name="التقييم" sheetId="1" state="visible" r:id="rId1"/>
    <sheet name="الكميات  " sheetId="2" state="visible" r:id="rId2"/>
    <sheet name="المخطط" sheetId="3" state="visible" r:id="rId3"/>
    <sheet name="الوثائق" sheetId="4" state="visible" r:id="rId4"/>
    <sheet name="صور قبل الترميم" sheetId="5" state="visible" r:id="rId5"/>
    <sheet name="صور بعد الترميم" sheetId="6" state="visible" r:id="rId6"/>
    <sheet name="نسبة الإنجاز" sheetId="7" state="visible" r:id="rId7"/>
  </sheets>
  <definedNames>
    <definedName name="_xlnm.Print_Titles" localSheetId="1">'الكميات  '!$2:$6</definedName>
    <definedName name="_xlnm.Print_Area" localSheetId="1">'الكميات  '!$A$2:$J$45</definedName>
  </definedNames>
  <calcPr calcId="191029" fullCalcOnLoad="1"/>
</workbook>
</file>

<file path=xl/styles.xml><?xml version="1.0" encoding="utf-8"?>
<styleSheet xmlns="http://schemas.openxmlformats.org/spreadsheetml/2006/main">
  <numFmts count="1">
    <numFmt numFmtId="164" formatCode="yyyy-mm-dd h:mm:ss"/>
  </numFmts>
  <fonts count="34">
    <font>
      <name val="Arial"/>
      <family val="2"/>
      <color theme="1"/>
      <sz val="11"/>
      <scheme val="minor"/>
    </font>
    <font>
      <name val="Arial"/>
      <family val="2"/>
      <color theme="1"/>
      <sz val="11"/>
      <scheme val="minor"/>
    </font>
    <font>
      <name val="Arial"/>
      <family val="2"/>
      <b val="1"/>
      <color theme="1"/>
      <sz val="12"/>
      <scheme val="minor"/>
    </font>
    <font>
      <name val="Arial"/>
      <family val="2"/>
      <color theme="1"/>
      <sz val="14"/>
      <scheme val="minor"/>
    </font>
    <font>
      <name val="Century Gothic"/>
      <family val="2"/>
      <sz val="10"/>
    </font>
    <font>
      <name val="Arial"/>
      <family val="2"/>
      <b val="1"/>
      <color rgb="FF000000"/>
      <sz val="12"/>
      <scheme val="minor"/>
    </font>
    <font>
      <name val="Arial"/>
      <family val="2"/>
      <b val="1"/>
      <sz val="12"/>
      <scheme val="minor"/>
    </font>
    <font>
      <name val="Arial"/>
      <family val="2"/>
      <b val="1"/>
      <color rgb="FF000000"/>
      <sz val="10"/>
      <scheme val="minor"/>
    </font>
    <font>
      <name val="Times New Roman"/>
      <family val="1"/>
      <b val="1"/>
      <sz val="10"/>
    </font>
    <font>
      <name val="Arial"/>
      <family val="2"/>
      <b val="1"/>
      <sz val="10"/>
      <scheme val="minor"/>
    </font>
    <font>
      <name val="Arial"/>
      <family val="2"/>
      <b val="1"/>
      <color rgb="FF000000"/>
      <sz val="14"/>
      <scheme val="minor"/>
    </font>
    <font>
      <name val="Arial"/>
      <family val="2"/>
      <color theme="1"/>
      <sz val="12"/>
      <scheme val="minor"/>
    </font>
    <font>
      <name val="Arial"/>
      <family val="2"/>
      <b val="1"/>
      <color rgb="FF000000"/>
      <sz val="16"/>
      <scheme val="minor"/>
    </font>
    <font>
      <name val="Led Italic Font"/>
      <charset val="178"/>
      <b val="1"/>
      <sz val="16"/>
    </font>
    <font>
      <name val="Led Italic Font"/>
      <charset val="178"/>
      <b val="1"/>
      <color rgb="FF000000"/>
      <sz val="16"/>
    </font>
    <font>
      <name val="Led Italic Font"/>
      <charset val="178"/>
      <b val="1"/>
      <color rgb="FF000000"/>
      <sz val="14"/>
    </font>
    <font>
      <name val="Led Italic Font"/>
      <charset val="178"/>
      <b val="1"/>
      <color rgb="FF000000"/>
      <sz val="12"/>
    </font>
    <font>
      <name val="Led Italic Font"/>
      <charset val="178"/>
      <b val="1"/>
      <sz val="14"/>
    </font>
    <font>
      <name val="Andalus"/>
      <family val="1"/>
      <b val="1"/>
      <sz val="18"/>
    </font>
    <font>
      <name val="Arial"/>
      <family val="2"/>
      <b val="1"/>
      <color indexed="10"/>
      <sz val="16"/>
      <scheme val="minor"/>
    </font>
    <font>
      <name val="Arial"/>
      <family val="2"/>
      <b val="1"/>
      <i val="1"/>
      <color rgb="FF000000"/>
      <sz val="14"/>
      <scheme val="minor"/>
    </font>
    <font>
      <name val="Arial"/>
      <family val="2"/>
      <b val="1"/>
      <color theme="1"/>
      <sz val="16"/>
      <scheme val="minor"/>
    </font>
    <font>
      <name val="Arial"/>
      <family val="2"/>
      <b val="1"/>
      <i val="1"/>
      <color rgb="FF000000"/>
      <sz val="16"/>
      <scheme val="minor"/>
    </font>
    <font>
      <name val="Arial"/>
      <family val="2"/>
      <b val="1"/>
      <color theme="1"/>
      <sz val="14"/>
      <scheme val="minor"/>
    </font>
    <font>
      <name val="Arial"/>
      <family val="2"/>
      <b val="1"/>
      <color theme="1"/>
      <sz val="18"/>
      <scheme val="minor"/>
    </font>
    <font>
      <name val="Arial"/>
      <family val="2"/>
      <b val="1"/>
      <color theme="1"/>
      <sz val="9"/>
      <scheme val="minor"/>
    </font>
    <font>
      <name val="Arial"/>
      <family val="2"/>
      <b val="1"/>
      <color theme="1"/>
      <sz val="12"/>
      <u val="single"/>
      <scheme val="minor"/>
    </font>
    <font>
      <name val="Arial"/>
      <family val="2"/>
      <b val="1"/>
      <color rgb="FFFF0000"/>
      <sz val="16"/>
      <scheme val="minor"/>
    </font>
    <font>
      <name val="Calibri"/>
      <family val="2"/>
      <b val="1"/>
      <color theme="1"/>
      <sz val="12"/>
    </font>
    <font>
      <name val="Arial"/>
      <family val="2"/>
      <b val="1"/>
      <color rgb="FFFF0000"/>
      <sz val="12"/>
      <scheme val="minor"/>
    </font>
    <font>
      <name val="Arial"/>
      <family val="2"/>
      <b val="1"/>
      <color theme="1"/>
      <sz val="11"/>
      <scheme val="minor"/>
    </font>
    <font>
      <name val="Calibri"/>
      <family val="2"/>
      <b val="1"/>
      <color theme="1"/>
      <sz val="11"/>
    </font>
    <font>
      <name val="Calibri"/>
      <family val="2"/>
      <color theme="1"/>
      <sz val="12"/>
    </font>
    <font>
      <name val="Arial"/>
      <family val="2"/>
      <color rgb="FFFF0000"/>
      <sz val="12"/>
      <scheme val="minor"/>
    </font>
  </fonts>
  <fills count="19">
    <fill>
      <patternFill/>
    </fill>
    <fill>
      <patternFill patternType="gray125"/>
    </fill>
    <fill>
      <patternFill patternType="solid">
        <fgColor theme="0" tint="-0.1499984740745262"/>
        <bgColor indexed="64"/>
      </patternFill>
    </fill>
    <fill>
      <patternFill patternType="solid">
        <fgColor theme="0" tint="-0.0499893185216834"/>
        <bgColor indexed="64"/>
      </patternFill>
    </fill>
    <fill>
      <patternFill patternType="solid">
        <fgColor theme="7" tint="0.7999816888943144"/>
        <bgColor indexed="64"/>
      </patternFill>
    </fill>
    <fill>
      <patternFill patternType="solid">
        <fgColor theme="4" tint="0.7999816888943144"/>
        <bgColor indexed="64"/>
      </patternFill>
    </fill>
    <fill>
      <patternFill patternType="solid">
        <fgColor theme="5" tint="0.5999938962981048"/>
        <bgColor indexed="64"/>
      </patternFill>
    </fill>
    <fill>
      <patternFill patternType="solid">
        <fgColor theme="4" tint="0.7999816888943144"/>
        <bgColor indexed="65"/>
      </patternFill>
    </fill>
    <fill>
      <patternFill patternType="solid">
        <fgColor theme="2" tint="-0.09997863704336681"/>
        <bgColor indexed="64"/>
      </patternFill>
    </fill>
    <fill>
      <patternFill patternType="solid">
        <fgColor theme="9" tint="0.5999938962981048"/>
        <bgColor indexed="64"/>
      </patternFill>
    </fill>
    <fill>
      <patternFill patternType="solid">
        <fgColor theme="6" tint="0.3999755851924192"/>
        <bgColor indexed="64"/>
      </patternFill>
    </fill>
    <fill>
      <patternFill patternType="solid">
        <fgColor theme="4" tint="0.3999755851924192"/>
        <bgColor indexed="64"/>
      </patternFill>
    </fill>
    <fill>
      <patternFill patternType="solid">
        <fgColor theme="6" tint="0.5999938962981048"/>
        <bgColor indexed="64"/>
      </patternFill>
    </fill>
    <fill>
      <patternFill patternType="solid">
        <fgColor theme="4" tint="0.5999938962981048"/>
        <bgColor indexed="64"/>
      </patternFill>
    </fill>
    <fill>
      <patternFill patternType="solid">
        <fgColor theme="5" tint="0.7999816888943144"/>
        <bgColor indexed="64"/>
      </patternFill>
    </fill>
    <fill>
      <patternFill patternType="solid">
        <fgColor theme="0"/>
        <bgColor indexed="64"/>
      </patternFill>
    </fill>
    <fill>
      <patternFill patternType="solid">
        <fgColor theme="9" tint="0.7999816888943144"/>
        <bgColor indexed="64"/>
      </patternFill>
    </fill>
    <fill>
      <patternFill patternType="solid">
        <fgColor theme="6" tint="0.7999816888943144"/>
        <bgColor indexed="64"/>
      </patternFill>
    </fill>
    <fill>
      <patternFill patternType="solid">
        <fgColor theme="8" tint="0.7999816888943144"/>
        <bgColor indexed="64"/>
      </patternFill>
    </fill>
  </fills>
  <borders count="143">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double">
        <color indexed="64"/>
      </right>
      <top/>
      <bottom/>
      <diagonal/>
    </border>
    <border>
      <left/>
      <right style="double">
        <color indexed="64"/>
      </right>
      <top style="double">
        <color indexed="64"/>
      </top>
      <bottom style="double">
        <color indexed="64"/>
      </bottom>
      <diagonal/>
    </border>
    <border>
      <left/>
      <right/>
      <top style="double">
        <color indexed="64"/>
      </top>
      <bottom style="double">
        <color indexed="64"/>
      </bottom>
      <diagonal/>
    </border>
    <border>
      <left style="double">
        <color indexed="64"/>
      </left>
      <right/>
      <top style="double">
        <color indexed="64"/>
      </top>
      <bottom style="double">
        <color indexed="64"/>
      </bottom>
      <diagonal/>
    </border>
    <border>
      <left style="double">
        <color indexed="64"/>
      </left>
      <right style="medium">
        <color indexed="64"/>
      </right>
      <top style="medium">
        <color indexed="64"/>
      </top>
      <bottom style="medium">
        <color indexed="64"/>
      </bottom>
      <diagonal/>
    </border>
    <border>
      <left style="double">
        <color indexed="64"/>
      </left>
      <right style="medium">
        <color indexed="64"/>
      </right>
      <top style="double">
        <color indexed="64"/>
      </top>
      <bottom style="double">
        <color indexed="64"/>
      </bottom>
      <diagonal/>
    </border>
    <border>
      <left style="medium">
        <color indexed="64"/>
      </left>
      <right style="double">
        <color indexed="64"/>
      </right>
      <top style="double">
        <color indexed="64"/>
      </top>
      <bottom style="double">
        <color indexed="64"/>
      </bottom>
      <diagonal/>
    </border>
    <border>
      <left style="medium">
        <color indexed="64"/>
      </left>
      <right style="medium">
        <color indexed="64"/>
      </right>
      <top style="double">
        <color indexed="64"/>
      </top>
      <bottom style="double">
        <color indexed="64"/>
      </bottom>
      <diagonal/>
    </border>
    <border>
      <left style="medium">
        <color indexed="64"/>
      </left>
      <right style="medium">
        <color indexed="64"/>
      </right>
      <top style="medium">
        <color indexed="64"/>
      </top>
      <bottom style="medium">
        <color rgb="FF000000"/>
      </bottom>
      <diagonal/>
    </border>
    <border>
      <left style="double">
        <color indexed="64"/>
      </left>
      <right style="double">
        <color indexed="64"/>
      </right>
      <top style="medium">
        <color indexed="64"/>
      </top>
      <bottom/>
      <diagonal/>
    </border>
    <border>
      <left style="double">
        <color indexed="64"/>
      </left>
      <right style="double">
        <color indexed="64"/>
      </right>
      <top style="medium">
        <color indexed="64"/>
      </top>
      <bottom style="double">
        <color indexed="64"/>
      </bottom>
      <diagonal/>
    </border>
    <border>
      <left style="double">
        <color indexed="64"/>
      </left>
      <right style="double">
        <color indexed="64"/>
      </right>
      <top style="medium">
        <color indexed="64"/>
      </top>
      <bottom style="medium">
        <color indexed="64"/>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bottom style="medium">
        <color indexed="64"/>
      </bottom>
      <diagonal/>
    </border>
    <border>
      <left style="double">
        <color indexed="64"/>
      </left>
      <right style="medium">
        <color indexed="64"/>
      </right>
      <top/>
      <bottom style="medium">
        <color indexed="64"/>
      </bottom>
      <diagonal/>
    </border>
    <border>
      <left style="medium">
        <color indexed="64"/>
      </left>
      <right style="medium">
        <color indexed="64"/>
      </right>
      <top style="medium">
        <color indexed="64"/>
      </top>
      <bottom style="double">
        <color indexed="64"/>
      </bottom>
      <diagonal/>
    </border>
    <border>
      <left/>
      <right style="medium">
        <color rgb="FF000000"/>
      </right>
      <top style="medium">
        <color indexed="64"/>
      </top>
      <bottom style="double">
        <color indexed="64"/>
      </bottom>
      <diagonal/>
    </border>
    <border>
      <left style="medium">
        <color indexed="64"/>
      </left>
      <right style="medium">
        <color indexed="64"/>
      </right>
      <top/>
      <bottom style="double">
        <color indexed="64"/>
      </bottom>
      <diagonal/>
    </border>
    <border>
      <left style="double">
        <color indexed="64"/>
      </left>
      <right style="medium">
        <color indexed="64"/>
      </right>
      <top style="medium">
        <color indexed="64"/>
      </top>
      <bottom style="double">
        <color indexed="64"/>
      </bottom>
      <diagonal/>
    </border>
    <border>
      <left style="double">
        <color indexed="64"/>
      </left>
      <right style="medium">
        <color indexed="64"/>
      </right>
      <top style="double">
        <color indexed="64"/>
      </top>
      <bottom style="medium">
        <color indexed="64"/>
      </bottom>
      <diagonal/>
    </border>
    <border>
      <left style="medium">
        <color indexed="64"/>
      </left>
      <right style="medium">
        <color indexed="64"/>
      </right>
      <top style="double">
        <color indexed="64"/>
      </top>
      <bottom/>
      <diagonal/>
    </border>
    <border>
      <left style="medium">
        <color indexed="64"/>
      </left>
      <right style="medium">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medium">
        <color indexed="64"/>
      </right>
      <top/>
      <bottom/>
      <diagonal/>
    </border>
    <border>
      <left style="medium">
        <color indexed="64"/>
      </left>
      <right style="medium">
        <color indexed="64"/>
      </right>
      <top style="double">
        <color indexed="64"/>
      </top>
      <bottom style="medium">
        <color rgb="FF000000"/>
      </bottom>
      <diagonal/>
    </border>
    <border>
      <left style="slantDashDot">
        <color indexed="64"/>
      </left>
      <right style="thin">
        <color indexed="64"/>
      </right>
      <top style="slantDashDot">
        <color indexed="64"/>
      </top>
      <bottom/>
      <diagonal/>
    </border>
    <border>
      <left style="thin">
        <color indexed="64"/>
      </left>
      <right style="thin">
        <color indexed="64"/>
      </right>
      <top style="slantDashDot">
        <color indexed="64"/>
      </top>
      <bottom/>
      <diagonal/>
    </border>
    <border>
      <left style="thin">
        <color indexed="64"/>
      </left>
      <right style="slantDashDot">
        <color indexed="64"/>
      </right>
      <top style="slantDashDot">
        <color indexed="64"/>
      </top>
      <bottom/>
      <diagonal/>
    </border>
    <border>
      <left style="slantDashDot">
        <color indexed="64"/>
      </left>
      <right style="thin">
        <color indexed="64"/>
      </right>
      <top/>
      <bottom style="slantDashDot">
        <color indexed="64"/>
      </bottom>
      <diagonal/>
    </border>
    <border>
      <left style="thin">
        <color indexed="64"/>
      </left>
      <right style="thin">
        <color indexed="64"/>
      </right>
      <top/>
      <bottom style="slantDashDot">
        <color indexed="64"/>
      </bottom>
      <diagonal/>
    </border>
    <border>
      <left style="thin">
        <color indexed="64"/>
      </left>
      <right style="slantDashDot">
        <color indexed="64"/>
      </right>
      <top/>
      <bottom style="slantDashDot">
        <color indexed="64"/>
      </bottom>
      <diagonal/>
    </border>
    <border>
      <left style="thin">
        <color indexed="64"/>
      </left>
      <right style="thin">
        <color indexed="64"/>
      </right>
      <top style="double">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slantDashDot">
        <color indexed="64"/>
      </right>
      <top style="double">
        <color indexed="64"/>
      </top>
      <bottom/>
      <diagonal/>
    </border>
    <border>
      <left style="thin">
        <color indexed="64"/>
      </left>
      <right style="slantDashDot">
        <color indexed="64"/>
      </right>
      <top/>
      <bottom style="double">
        <color indexed="64"/>
      </bottom>
      <diagonal/>
    </border>
    <border>
      <left/>
      <right style="slantDashDot">
        <color indexed="64"/>
      </right>
      <top/>
      <bottom/>
      <diagonal/>
    </border>
    <border>
      <left/>
      <right style="thin">
        <color indexed="64"/>
      </right>
      <top style="double">
        <color indexed="64"/>
      </top>
      <bottom/>
      <diagonal/>
    </border>
    <border>
      <left/>
      <right style="thin">
        <color indexed="64"/>
      </right>
      <top/>
      <bottom style="double">
        <color indexed="64"/>
      </bottom>
      <diagonal/>
    </border>
    <border>
      <left style="double">
        <color indexed="64"/>
      </left>
      <right style="medium">
        <color indexed="64"/>
      </right>
      <top/>
      <bottom style="double">
        <color indexed="64"/>
      </bottom>
      <diagonal/>
    </border>
    <border>
      <left style="double">
        <color indexed="64"/>
      </left>
      <right style="medium">
        <color indexed="64"/>
      </right>
      <top style="medium">
        <color indexed="64"/>
      </top>
      <bottom/>
      <diagonal/>
    </border>
    <border>
      <left style="medium">
        <color rgb="FF000000"/>
      </left>
      <right style="medium">
        <color indexed="64"/>
      </right>
      <top style="medium">
        <color indexed="64"/>
      </top>
      <bottom style="double">
        <color indexed="64"/>
      </bottom>
      <diagonal/>
    </border>
    <border>
      <left/>
      <right/>
      <top style="double">
        <color indexed="64"/>
      </top>
      <bottom/>
      <diagonal/>
    </border>
    <border>
      <left style="double">
        <color indexed="64"/>
      </left>
      <right/>
      <top style="double">
        <color indexed="64"/>
      </top>
      <bottom/>
      <diagonal/>
    </border>
    <border>
      <left style="double">
        <color indexed="64"/>
      </left>
      <right style="double">
        <color indexed="64"/>
      </right>
      <top/>
      <bottom style="double">
        <color indexed="64"/>
      </bottom>
      <diagonal/>
    </border>
    <border>
      <left/>
      <right style="double">
        <color indexed="64"/>
      </right>
      <top style="double">
        <color indexed="64"/>
      </top>
      <bottom/>
      <diagonal/>
    </border>
    <border>
      <left/>
      <right style="medium">
        <color rgb="FF000000"/>
      </right>
      <top/>
      <bottom style="double">
        <color indexed="64"/>
      </bottom>
      <diagonal/>
    </border>
    <border>
      <left/>
      <right style="medium">
        <color indexed="64"/>
      </right>
      <top/>
      <bottom style="double">
        <color indexed="64"/>
      </bottom>
      <diagonal/>
    </border>
    <border>
      <left/>
      <right style="double">
        <color indexed="64"/>
      </right>
      <top/>
      <bottom style="double">
        <color indexed="64"/>
      </bottom>
      <diagonal/>
    </border>
    <border>
      <left style="hair">
        <color indexed="64"/>
      </left>
      <right/>
      <top style="double">
        <color indexed="64"/>
      </top>
      <bottom style="double">
        <color indexed="64"/>
      </bottom>
      <diagonal/>
    </border>
    <border>
      <left style="medium">
        <color indexed="64"/>
      </left>
      <right/>
      <top style="double">
        <color indexed="64"/>
      </top>
      <bottom style="dotted">
        <color indexed="64"/>
      </bottom>
      <diagonal/>
    </border>
    <border>
      <left style="medium">
        <color indexed="64"/>
      </left>
      <right style="medium">
        <color indexed="64"/>
      </right>
      <top style="double">
        <color indexed="64"/>
      </top>
      <bottom style="dotted">
        <color indexed="64"/>
      </bottom>
      <diagonal/>
    </border>
    <border>
      <left/>
      <right style="medium">
        <color indexed="64"/>
      </right>
      <top style="double">
        <color indexed="64"/>
      </top>
      <bottom style="dotted">
        <color indexed="64"/>
      </bottom>
      <diagonal/>
    </border>
    <border>
      <left/>
      <right style="double">
        <color indexed="64"/>
      </right>
      <top style="double">
        <color indexed="64"/>
      </top>
      <bottom style="dotted">
        <color indexed="64"/>
      </bottom>
      <diagonal/>
    </border>
    <border>
      <left style="double">
        <color indexed="64"/>
      </left>
      <right style="double">
        <color indexed="64"/>
      </right>
      <top style="double">
        <color indexed="64"/>
      </top>
      <bottom style="dotted">
        <color indexed="64"/>
      </bottom>
      <diagonal/>
    </border>
    <border>
      <left/>
      <right style="medium">
        <color indexed="64"/>
      </right>
      <top style="double">
        <color indexed="64"/>
      </top>
      <bottom/>
      <diagonal/>
    </border>
    <border>
      <left/>
      <right style="medium">
        <color indexed="64"/>
      </right>
      <top style="double">
        <color indexed="64"/>
      </top>
      <bottom style="double">
        <color indexed="64"/>
      </bottom>
      <diagonal/>
    </border>
    <border>
      <left style="medium">
        <color indexed="64"/>
      </left>
      <right/>
      <top/>
      <bottom/>
      <diagonal/>
    </border>
    <border>
      <left style="hair">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double">
        <color indexed="64"/>
      </left>
      <right/>
      <top/>
      <bottom/>
      <diagonal/>
    </border>
    <border>
      <left/>
      <right style="medium">
        <color indexed="64"/>
      </right>
      <top/>
      <bottom/>
      <diagonal/>
    </border>
    <border>
      <left/>
      <right style="thin">
        <color indexed="64"/>
      </right>
      <top style="double">
        <color indexed="64"/>
      </top>
      <bottom style="double">
        <color indexed="64"/>
      </bottom>
      <diagonal/>
    </border>
    <border>
      <left/>
      <right style="thin">
        <color indexed="64"/>
      </right>
      <top/>
      <bottom/>
      <diagonal/>
    </border>
    <border>
      <left style="thin">
        <color indexed="64"/>
      </left>
      <right style="slantDashDot">
        <color indexed="64"/>
      </right>
      <top style="double">
        <color indexed="64"/>
      </top>
      <bottom style="double">
        <color indexed="64"/>
      </bottom>
      <diagonal/>
    </border>
    <border>
      <left style="thin">
        <color indexed="64"/>
      </left>
      <right/>
      <top/>
      <bottom/>
      <diagonal/>
    </border>
    <border>
      <left style="thin">
        <color indexed="64"/>
      </left>
      <right style="slantDashDot">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theme="3" tint="0.499984740745262"/>
      </right>
      <top style="thick">
        <color theme="3" tint="0.499984740745262"/>
      </top>
      <bottom/>
      <diagonal/>
    </border>
    <border>
      <left style="medium">
        <color indexed="64"/>
      </left>
      <right/>
      <top style="medium">
        <color indexed="64"/>
      </top>
      <bottom/>
      <diagonal/>
    </border>
    <border>
      <left/>
      <right/>
      <top style="medium">
        <color auto="1"/>
      </top>
      <bottom/>
      <diagonal/>
    </border>
    <border>
      <left/>
      <right style="medium">
        <color indexed="64"/>
      </right>
      <top style="medium">
        <color indexed="64"/>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medium">
        <color auto="1"/>
      </top>
      <bottom style="thin">
        <color auto="1"/>
      </bottom>
      <diagonal/>
    </border>
    <border>
      <left/>
      <right/>
      <top style="medium">
        <color auto="1"/>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indexed="64"/>
      </left>
      <right/>
      <top style="thin">
        <color indexed="64"/>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right style="thin">
        <color auto="1"/>
      </right>
      <top/>
      <bottom style="thin">
        <color auto="1"/>
      </bottom>
      <diagonal/>
    </border>
    <border>
      <left style="thin">
        <color indexed="64"/>
      </left>
      <right style="thin">
        <color indexed="64"/>
      </right>
      <top/>
      <bottom style="thin">
        <color indexed="64"/>
      </bottom>
      <diagonal/>
    </border>
    <border>
      <left style="thin">
        <color auto="1"/>
      </left>
      <right style="medium">
        <color indexed="64"/>
      </right>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auto="1"/>
      </top>
      <bottom style="medium">
        <color indexed="64"/>
      </bottom>
      <diagonal/>
    </border>
    <border>
      <left style="thin">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auto="1"/>
      </right>
      <top style="thin">
        <color auto="1"/>
      </top>
      <bottom/>
      <diagonal/>
    </border>
    <border>
      <left style="thin">
        <color auto="1"/>
      </left>
      <right style="medium">
        <color indexed="64"/>
      </right>
      <top style="thin">
        <color auto="1"/>
      </top>
      <bottom/>
      <diagonal/>
    </border>
    <border>
      <left style="thin">
        <color indexed="64"/>
      </left>
      <right style="medium">
        <color indexed="64"/>
      </right>
      <top/>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medium">
        <color indexed="64"/>
      </bottom>
      <diagonal/>
    </border>
    <border>
      <left style="thin">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indexed="64"/>
      </left>
      <right style="medium">
        <color indexed="64"/>
      </right>
      <top style="medium">
        <color indexed="64"/>
      </top>
      <bottom style="thin">
        <color auto="1"/>
      </bottom>
      <diagonal/>
    </border>
    <border>
      <left style="thin">
        <color auto="1"/>
      </left>
      <right style="thin">
        <color auto="1"/>
      </right>
      <top/>
      <bottom style="thin">
        <color theme="1" tint="0.499984740745262"/>
      </bottom>
      <diagonal/>
    </border>
    <border>
      <left style="thin">
        <color indexed="64"/>
      </left>
      <right style="medium">
        <color indexed="64"/>
      </right>
      <top style="thin">
        <color auto="1"/>
      </top>
      <bottom style="thin">
        <color auto="1"/>
      </bottom>
      <diagonal/>
    </border>
    <border>
      <left/>
      <right style="medium">
        <color indexed="64"/>
      </right>
      <top style="thin">
        <color auto="1"/>
      </top>
      <bottom/>
      <diagonal/>
    </border>
    <border>
      <left style="medium">
        <color indexed="64"/>
      </left>
      <right/>
      <top/>
      <bottom style="thin">
        <color auto="1"/>
      </bottom>
      <diagonal/>
    </border>
    <border>
      <left style="thin">
        <color auto="1"/>
      </left>
      <right style="thin">
        <color auto="1"/>
      </right>
      <top style="thin">
        <color theme="1" tint="0.499984740745262"/>
      </top>
      <bottom style="thin">
        <color auto="1"/>
      </bottom>
      <diagonal/>
    </border>
    <border>
      <left style="thin">
        <color indexed="64"/>
      </left>
      <right/>
      <top/>
      <bottom style="thin">
        <color auto="1"/>
      </bottom>
      <diagonal/>
    </border>
    <border>
      <left/>
      <right style="medium">
        <color indexed="64"/>
      </right>
      <top/>
      <bottom style="thin">
        <color auto="1"/>
      </bottom>
      <diagonal/>
    </border>
    <border>
      <left style="medium">
        <color indexed="64"/>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theme="1" tint="0.499984740745262"/>
      </bottom>
      <diagonal/>
    </border>
    <border>
      <left style="thin">
        <color indexed="64"/>
      </left>
      <right style="medium">
        <color indexed="64"/>
      </right>
      <top style="thin">
        <color auto="1"/>
      </top>
      <bottom style="medium">
        <color indexed="64"/>
      </bottom>
      <diagonal/>
    </border>
    <border>
      <left style="thin">
        <color auto="1"/>
      </left>
      <right style="thin">
        <color auto="1"/>
      </right>
      <top style="thin">
        <color theme="1" tint="0.499984740745262"/>
      </top>
      <bottom/>
      <diagonal/>
    </border>
    <border>
      <left/>
      <right style="thin">
        <color auto="1"/>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indexed="64"/>
      </top>
      <bottom/>
      <diagonal/>
    </border>
    <border>
      <left style="thin">
        <color auto="1"/>
      </left>
      <right style="thin">
        <color auto="1"/>
      </right>
      <top style="medium">
        <color indexed="64"/>
      </top>
      <bottom/>
      <diagonal/>
    </border>
    <border>
      <left style="medium">
        <color indexed="64"/>
      </left>
      <right style="medium">
        <color indexed="64"/>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auto="1"/>
      </left>
      <right style="thin">
        <color auto="1"/>
      </right>
      <top style="thin">
        <color theme="1" tint="0.3499862666707358"/>
      </top>
      <bottom style="medium">
        <color indexed="64"/>
      </bottom>
      <diagonal/>
    </border>
    <border>
      <left style="thin">
        <color auto="1"/>
      </left>
      <right style="thin">
        <color auto="1"/>
      </right>
      <top style="medium">
        <color indexed="64"/>
      </top>
      <bottom style="thin">
        <color theme="1" tint="0.499984740745262"/>
      </bottom>
      <diagonal/>
    </border>
    <border>
      <left style="thin">
        <color auto="1"/>
      </left>
      <right style="thin">
        <color auto="1"/>
      </right>
      <top style="thin">
        <color theme="1" tint="0.499984740745262"/>
      </top>
      <bottom style="medium">
        <color indexed="64"/>
      </bottom>
      <diagonal/>
    </border>
    <border>
      <left style="medium">
        <color indexed="64"/>
      </left>
      <right style="medium">
        <color indexed="64"/>
      </right>
      <top style="thin">
        <color auto="1"/>
      </top>
      <bottom style="medium">
        <color indexed="64"/>
      </bottom>
      <diagonal/>
    </border>
    <border>
      <left style="thin">
        <color auto="1"/>
      </left>
      <right style="thin">
        <color auto="1"/>
      </right>
      <top style="medium">
        <color indexed="64"/>
      </top>
      <bottom style="thin">
        <color auto="1"/>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auto="1"/>
      </top>
      <bottom style="medium">
        <color indexed="64"/>
      </bottom>
      <diagonal/>
    </border>
    <border>
      <left/>
      <right style="thin">
        <color indexed="64"/>
      </right>
      <top style="thin">
        <color auto="1"/>
      </top>
      <bottom/>
      <diagonal/>
    </border>
    <border>
      <left/>
      <right/>
      <top style="thin">
        <color auto="1"/>
      </top>
      <bottom/>
      <diagonal/>
    </border>
    <border>
      <left/>
      <right style="thin">
        <color auto="1"/>
      </right>
      <top/>
      <bottom/>
      <diagonal/>
    </border>
    <border>
      <left/>
      <right style="thin">
        <color auto="1"/>
      </right>
      <top style="medium">
        <color indexed="64"/>
      </top>
      <bottom/>
      <diagonal/>
    </border>
    <border>
      <left style="medium">
        <color indexed="64"/>
      </left>
      <right style="thin">
        <color auto="1"/>
      </right>
      <top/>
      <bottom/>
      <diagonal/>
    </border>
    <border>
      <left/>
      <right style="thin">
        <color auto="1"/>
      </right>
      <top style="medium">
        <color auto="1"/>
      </top>
      <bottom/>
      <diagonal/>
    </border>
  </borders>
  <cellStyleXfs count="4">
    <xf numFmtId="0" fontId="1" fillId="0" borderId="0"/>
    <xf numFmtId="0" fontId="1" fillId="0" borderId="0"/>
    <xf numFmtId="0" fontId="4" fillId="0" borderId="0"/>
    <xf numFmtId="0" fontId="1" fillId="7" borderId="0"/>
  </cellStyleXfs>
  <cellXfs count="307">
    <xf numFmtId="0" fontId="0" fillId="0" borderId="0" pivotButton="0" quotePrefix="0" xfId="0"/>
    <xf numFmtId="0" fontId="6" fillId="0" borderId="0" applyAlignment="1" pivotButton="0" quotePrefix="0" xfId="2">
      <alignment horizontal="center" vertical="center"/>
    </xf>
    <xf numFmtId="0" fontId="6" fillId="3" borderId="8" applyAlignment="1" pivotButton="0" quotePrefix="0" xfId="2">
      <alignment horizontal="center" vertical="center"/>
    </xf>
    <xf numFmtId="0" fontId="6" fillId="0" borderId="4" applyAlignment="1" pivotButton="0" quotePrefix="0" xfId="2">
      <alignment horizontal="center" vertical="center"/>
    </xf>
    <xf numFmtId="0" fontId="7" fillId="3" borderId="14" applyAlignment="1" pivotButton="0" quotePrefix="0" xfId="1">
      <alignment horizontal="right" vertical="center" wrapText="1"/>
    </xf>
    <xf numFmtId="0" fontId="6" fillId="0" borderId="0" applyAlignment="1" pivotButton="0" quotePrefix="0" xfId="2">
      <alignment horizontal="right" vertical="center"/>
    </xf>
    <xf numFmtId="0" fontId="7" fillId="0" borderId="0" applyAlignment="1" pivotButton="0" quotePrefix="0" xfId="1">
      <alignment vertical="center" wrapText="1"/>
    </xf>
    <xf numFmtId="0" fontId="7" fillId="3" borderId="15" applyAlignment="1" pivotButton="0" quotePrefix="0" xfId="1">
      <alignment horizontal="right" vertical="center" wrapText="1"/>
    </xf>
    <xf numFmtId="0" fontId="6" fillId="2" borderId="8" applyAlignment="1" pivotButton="0" quotePrefix="0" xfId="2">
      <alignment horizontal="center" vertical="center"/>
    </xf>
    <xf numFmtId="0" fontId="7" fillId="2" borderId="15" applyAlignment="1" pivotButton="0" quotePrefix="0" xfId="1">
      <alignment horizontal="right" vertical="center" wrapText="1"/>
    </xf>
    <xf numFmtId="0" fontId="7" fillId="2" borderId="14" applyAlignment="1" pivotButton="0" quotePrefix="0" xfId="1">
      <alignment horizontal="right" vertical="center" wrapText="1"/>
    </xf>
    <xf numFmtId="0" fontId="7" fillId="2" borderId="17" applyAlignment="1" pivotButton="0" quotePrefix="0" xfId="1">
      <alignment horizontal="right" vertical="center" wrapText="1"/>
    </xf>
    <xf numFmtId="0" fontId="6" fillId="2" borderId="18" applyAlignment="1" pivotButton="0" quotePrefix="0" xfId="2">
      <alignment horizontal="center" vertical="center"/>
    </xf>
    <xf numFmtId="0" fontId="6" fillId="3" borderId="22" applyAlignment="1" pivotButton="0" quotePrefix="0" xfId="2">
      <alignment horizontal="center" vertical="center"/>
    </xf>
    <xf numFmtId="0" fontId="8" fillId="3" borderId="14" applyAlignment="1" pivotButton="0" quotePrefix="0" xfId="1">
      <alignment horizontal="right" vertical="center" wrapText="1"/>
    </xf>
    <xf numFmtId="0" fontId="6" fillId="2" borderId="9" applyAlignment="1" pivotButton="0" quotePrefix="0" xfId="2">
      <alignment horizontal="center" vertical="center"/>
    </xf>
    <xf numFmtId="0" fontId="7" fillId="2" borderId="16" applyAlignment="1" pivotButton="0" quotePrefix="0" xfId="1">
      <alignment horizontal="right" vertical="center" wrapText="1"/>
    </xf>
    <xf numFmtId="0" fontId="6" fillId="3" borderId="23" applyAlignment="1" pivotButton="0" quotePrefix="0" xfId="2">
      <alignment horizontal="center" vertical="center"/>
    </xf>
    <xf numFmtId="0" fontId="7" fillId="3" borderId="26" applyAlignment="1" pivotButton="0" quotePrefix="0" xfId="1">
      <alignment horizontal="right" vertical="center" wrapText="1"/>
    </xf>
    <xf numFmtId="0" fontId="6" fillId="2" borderId="22" applyAlignment="1" pivotButton="0" quotePrefix="0" xfId="2">
      <alignment horizontal="center" vertical="center"/>
    </xf>
    <xf numFmtId="0" fontId="6" fillId="2" borderId="23" applyAlignment="1" pivotButton="0" quotePrefix="0" xfId="2">
      <alignment horizontal="center" vertical="center"/>
    </xf>
    <xf numFmtId="0" fontId="7" fillId="2" borderId="26" applyAlignment="1" pivotButton="0" quotePrefix="0" xfId="1">
      <alignment horizontal="right" vertical="center" wrapText="1"/>
    </xf>
    <xf numFmtId="0" fontId="3" fillId="0" borderId="0" pivotButton="0" quotePrefix="0" xfId="0"/>
    <xf numFmtId="0" fontId="11" fillId="0" borderId="0" pivotButton="0" quotePrefix="0" xfId="0"/>
    <xf numFmtId="0" fontId="3" fillId="6" borderId="29" applyAlignment="1" pivotButton="0" quotePrefix="0" xfId="0">
      <alignment horizontal="centerContinuous" vertical="center"/>
    </xf>
    <xf numFmtId="0" fontId="3" fillId="6" borderId="30" applyAlignment="1" pivotButton="0" quotePrefix="0" xfId="0">
      <alignment horizontal="centerContinuous" vertical="center"/>
    </xf>
    <xf numFmtId="0" fontId="3" fillId="6" borderId="31" applyAlignment="1" pivotButton="0" quotePrefix="0" xfId="0">
      <alignment horizontal="centerContinuous" vertical="center"/>
    </xf>
    <xf numFmtId="0" fontId="2" fillId="0" borderId="32" applyAlignment="1" pivotButton="0" quotePrefix="0" xfId="0">
      <alignment horizontal="center" vertical="center"/>
    </xf>
    <xf numFmtId="0" fontId="2" fillId="0" borderId="33" applyAlignment="1" pivotButton="0" quotePrefix="0" xfId="0">
      <alignment horizontal="center" vertical="center"/>
    </xf>
    <xf numFmtId="0" fontId="2" fillId="0" borderId="34" applyAlignment="1" pivotButton="0" quotePrefix="0" xfId="0">
      <alignment horizontal="center" vertical="center"/>
    </xf>
    <xf numFmtId="0" fontId="3" fillId="12" borderId="35" applyAlignment="1" pivotButton="0" quotePrefix="0" xfId="0">
      <alignment horizontal="centerContinuous" vertical="center"/>
    </xf>
    <xf numFmtId="0" fontId="3" fillId="12" borderId="36" applyAlignment="1" pivotButton="0" quotePrefix="0" xfId="0">
      <alignment horizontal="center" vertical="center"/>
    </xf>
    <xf numFmtId="0" fontId="0" fillId="0" borderId="39" pivotButton="0" quotePrefix="0" xfId="0"/>
    <xf numFmtId="0" fontId="6" fillId="2" borderId="27" applyAlignment="1" pivotButton="0" quotePrefix="0" xfId="2">
      <alignment horizontal="center" vertical="center"/>
    </xf>
    <xf numFmtId="0" fontId="6" fillId="2" borderId="43" applyAlignment="1" pivotButton="0" quotePrefix="0" xfId="2">
      <alignment horizontal="center" vertical="center"/>
    </xf>
    <xf numFmtId="0" fontId="7" fillId="2" borderId="13" applyAlignment="1" pivotButton="0" quotePrefix="0" xfId="1">
      <alignment horizontal="right" vertical="center" wrapText="1"/>
    </xf>
    <xf numFmtId="0" fontId="6" fillId="0" borderId="42" applyAlignment="1" pivotButton="0" quotePrefix="0" xfId="2">
      <alignment horizontal="center" vertical="center"/>
    </xf>
    <xf numFmtId="0" fontId="7" fillId="0" borderId="14" applyAlignment="1" pivotButton="0" quotePrefix="0" xfId="1">
      <alignment horizontal="right" vertical="center" wrapText="1"/>
    </xf>
    <xf numFmtId="0" fontId="6" fillId="0" borderId="23" applyAlignment="1" pivotButton="0" quotePrefix="0" xfId="2">
      <alignment horizontal="center" vertical="center"/>
    </xf>
    <xf numFmtId="0" fontId="7" fillId="0" borderId="26" applyAlignment="1" pivotButton="0" quotePrefix="0" xfId="1">
      <alignment horizontal="right" vertical="center" wrapText="1"/>
    </xf>
    <xf numFmtId="0" fontId="6" fillId="0" borderId="27" applyAlignment="1" pivotButton="0" quotePrefix="0" xfId="2">
      <alignment horizontal="center" vertical="center"/>
    </xf>
    <xf numFmtId="0" fontId="7" fillId="0" borderId="15" applyAlignment="1" pivotButton="0" quotePrefix="0" xfId="1">
      <alignment horizontal="right" vertical="center" wrapText="1"/>
    </xf>
    <xf numFmtId="0" fontId="6" fillId="0" borderId="43" applyAlignment="1" pivotButton="0" quotePrefix="0" xfId="2">
      <alignment horizontal="center" vertical="center"/>
    </xf>
    <xf numFmtId="0" fontId="6" fillId="0" borderId="8" applyAlignment="1" pivotButton="0" quotePrefix="0" xfId="2">
      <alignment horizontal="center" vertical="center"/>
    </xf>
    <xf numFmtId="0" fontId="6" fillId="0" borderId="22" applyAlignment="1" pivotButton="0" quotePrefix="0" xfId="2">
      <alignment horizontal="center" vertical="center"/>
    </xf>
    <xf numFmtId="0" fontId="10" fillId="9" borderId="1" applyAlignment="1" pivotButton="0" quotePrefix="0" xfId="1">
      <alignment horizontal="center" vertical="center" wrapText="1"/>
    </xf>
    <xf numFmtId="0" fontId="10" fillId="9" borderId="44" applyAlignment="1" pivotButton="0" quotePrefix="0" xfId="1">
      <alignment horizontal="center" vertical="center" wrapText="1"/>
    </xf>
    <xf numFmtId="0" fontId="10" fillId="9" borderId="3" applyAlignment="1" pivotButton="0" quotePrefix="0" xfId="1">
      <alignment horizontal="center" vertical="center" wrapText="1"/>
    </xf>
    <xf numFmtId="0" fontId="10" fillId="9" borderId="19" applyAlignment="1" pivotButton="0" quotePrefix="0" xfId="1">
      <alignment horizontal="center" vertical="center" wrapText="1"/>
    </xf>
    <xf numFmtId="0" fontId="10" fillId="9" borderId="2" applyAlignment="1" pivotButton="0" quotePrefix="0" xfId="1">
      <alignment horizontal="center" vertical="center" wrapText="1"/>
    </xf>
    <xf numFmtId="0" fontId="10" fillId="9" borderId="25" applyAlignment="1" pivotButton="0" quotePrefix="0" xfId="1">
      <alignment horizontal="center" vertical="center" wrapText="1"/>
    </xf>
    <xf numFmtId="0" fontId="10" fillId="9" borderId="21" applyAlignment="1" pivotButton="0" quotePrefix="0" xfId="1">
      <alignment horizontal="center" vertical="center" wrapText="1"/>
    </xf>
    <xf numFmtId="0" fontId="10" fillId="9" borderId="11" applyAlignment="1" pivotButton="0" quotePrefix="0" xfId="1">
      <alignment horizontal="center" vertical="center" wrapText="1"/>
    </xf>
    <xf numFmtId="0" fontId="7" fillId="3" borderId="13" applyAlignment="1" pivotButton="0" quotePrefix="0" xfId="1">
      <alignment horizontal="right" vertical="center" wrapText="1"/>
    </xf>
    <xf numFmtId="0" fontId="9" fillId="3" borderId="14" applyAlignment="1" pivotButton="0" quotePrefix="0" xfId="1">
      <alignment horizontal="right" vertical="center" wrapText="1"/>
    </xf>
    <xf numFmtId="0" fontId="7" fillId="3" borderId="17" applyAlignment="1" pivotButton="0" quotePrefix="0" xfId="1">
      <alignment horizontal="right" vertical="center" wrapText="1"/>
    </xf>
    <xf numFmtId="0" fontId="9" fillId="0" borderId="47" applyAlignment="1" pivotButton="0" quotePrefix="0" xfId="2">
      <alignment horizontal="center" vertical="center"/>
    </xf>
    <xf numFmtId="0" fontId="9" fillId="2" borderId="16" applyAlignment="1" pivotButton="0" quotePrefix="0" xfId="2">
      <alignment horizontal="center" vertical="center"/>
    </xf>
    <xf numFmtId="1" fontId="10" fillId="13" borderId="9" applyAlignment="1" pivotButton="0" quotePrefix="0" xfId="1">
      <alignment horizontal="center" vertical="center" wrapText="1"/>
    </xf>
    <xf numFmtId="0" fontId="10" fillId="2" borderId="1" applyAlignment="1" pivotButton="0" quotePrefix="0" xfId="1">
      <alignment horizontal="center" vertical="center" wrapText="1"/>
    </xf>
    <xf numFmtId="1" fontId="10" fillId="2" borderId="1" applyAlignment="1" pivotButton="0" quotePrefix="0" xfId="1">
      <alignment horizontal="center" vertical="center" wrapText="1"/>
    </xf>
    <xf numFmtId="0" fontId="10" fillId="3" borderId="1" applyAlignment="1" pivotButton="0" quotePrefix="0" xfId="1">
      <alignment horizontal="center" vertical="center" wrapText="1"/>
    </xf>
    <xf numFmtId="1" fontId="10" fillId="3" borderId="1" applyAlignment="1" pivotButton="0" quotePrefix="0" xfId="1">
      <alignment horizontal="center" vertical="center" wrapText="1"/>
    </xf>
    <xf numFmtId="0" fontId="10" fillId="3" borderId="19" applyAlignment="1" pivotButton="0" quotePrefix="0" xfId="1">
      <alignment horizontal="center" vertical="center" wrapText="1"/>
    </xf>
    <xf numFmtId="0" fontId="10" fillId="3" borderId="20" applyAlignment="1" pivotButton="0" quotePrefix="0" xfId="1">
      <alignment horizontal="center" vertical="center" wrapText="1"/>
    </xf>
    <xf numFmtId="1" fontId="10" fillId="3" borderId="19" applyAlignment="1" pivotButton="0" quotePrefix="0" xfId="1">
      <alignment horizontal="center" vertical="center" wrapText="1"/>
    </xf>
    <xf numFmtId="0" fontId="10" fillId="2" borderId="3" applyAlignment="1" pivotButton="0" quotePrefix="0" xfId="1">
      <alignment horizontal="center" vertical="center" wrapText="1"/>
    </xf>
    <xf numFmtId="1" fontId="10" fillId="2" borderId="3" applyAlignment="1" pivotButton="0" quotePrefix="0" xfId="1">
      <alignment horizontal="center" vertical="center" wrapText="1"/>
    </xf>
    <xf numFmtId="0" fontId="10" fillId="2" borderId="11" applyAlignment="1" pivotButton="0" quotePrefix="0" xfId="1">
      <alignment horizontal="center" vertical="center" wrapText="1"/>
    </xf>
    <xf numFmtId="1" fontId="10" fillId="2" borderId="11" applyAlignment="1" pivotButton="0" quotePrefix="0" xfId="1">
      <alignment horizontal="center" vertical="center" wrapText="1"/>
    </xf>
    <xf numFmtId="0" fontId="10" fillId="3" borderId="25" applyAlignment="1" pivotButton="0" quotePrefix="0" xfId="1">
      <alignment horizontal="center" vertical="center" wrapText="1"/>
    </xf>
    <xf numFmtId="1" fontId="10" fillId="3" borderId="25" applyAlignment="1" pivotButton="0" quotePrefix="0" xfId="1">
      <alignment horizontal="center" vertical="center" wrapText="1"/>
    </xf>
    <xf numFmtId="0" fontId="10" fillId="2" borderId="19" applyAlignment="1" pivotButton="0" quotePrefix="0" xfId="1">
      <alignment horizontal="center" vertical="center" wrapText="1"/>
    </xf>
    <xf numFmtId="1" fontId="10" fillId="2" borderId="19" applyAlignment="1" pivotButton="0" quotePrefix="0" xfId="1">
      <alignment horizontal="center" vertical="center" wrapText="1"/>
    </xf>
    <xf numFmtId="0" fontId="10" fillId="2" borderId="25" applyAlignment="1" pivotButton="0" quotePrefix="0" xfId="1">
      <alignment horizontal="center" vertical="center" wrapText="1"/>
    </xf>
    <xf numFmtId="1" fontId="10" fillId="2" borderId="25" applyAlignment="1" pivotButton="0" quotePrefix="0" xfId="1">
      <alignment horizontal="center" vertical="center" wrapText="1"/>
    </xf>
    <xf numFmtId="1" fontId="10" fillId="0" borderId="21" applyAlignment="1" pivotButton="0" quotePrefix="0" xfId="1">
      <alignment horizontal="center" vertical="center" wrapText="1"/>
    </xf>
    <xf numFmtId="0" fontId="10" fillId="0" borderId="21" applyAlignment="1" pivotButton="0" quotePrefix="0" xfId="1">
      <alignment horizontal="center" vertical="center" wrapText="1"/>
    </xf>
    <xf numFmtId="0" fontId="10" fillId="0" borderId="25" applyAlignment="1" pivotButton="0" quotePrefix="0" xfId="1">
      <alignment horizontal="center" vertical="center" wrapText="1"/>
    </xf>
    <xf numFmtId="0" fontId="10" fillId="0" borderId="28" applyAlignment="1" pivotButton="0" quotePrefix="0" xfId="1">
      <alignment horizontal="center" vertical="center" wrapText="1"/>
    </xf>
    <xf numFmtId="1" fontId="10" fillId="0" borderId="25" applyAlignment="1" pivotButton="0" quotePrefix="0" xfId="1">
      <alignment horizontal="center" vertical="center" wrapText="1"/>
    </xf>
    <xf numFmtId="0" fontId="10" fillId="0" borderId="1" applyAlignment="1" pivotButton="0" quotePrefix="0" xfId="1">
      <alignment horizontal="center" vertical="center" wrapText="1"/>
    </xf>
    <xf numFmtId="1" fontId="10" fillId="0" borderId="1" applyAlignment="1" pivotButton="0" quotePrefix="0" xfId="1">
      <alignment horizontal="center" vertical="center" wrapText="1"/>
    </xf>
    <xf numFmtId="0" fontId="10" fillId="0" borderId="12" applyAlignment="1" pivotButton="0" quotePrefix="0" xfId="1">
      <alignment horizontal="center" vertical="center" wrapText="1"/>
    </xf>
    <xf numFmtId="0" fontId="10" fillId="2" borderId="12" applyAlignment="1" pivotButton="0" quotePrefix="0" xfId="1">
      <alignment horizontal="center" vertical="center" wrapText="1"/>
    </xf>
    <xf numFmtId="0" fontId="10" fillId="0" borderId="19" applyAlignment="1" pivotButton="0" quotePrefix="0" xfId="1">
      <alignment horizontal="center" vertical="center" wrapText="1"/>
    </xf>
    <xf numFmtId="1" fontId="10" fillId="0" borderId="19" applyAlignment="1" pivotButton="0" quotePrefix="0" xfId="1">
      <alignment horizontal="center" vertical="center" wrapText="1"/>
    </xf>
    <xf numFmtId="0" fontId="13" fillId="2" borderId="11" applyAlignment="1" pivotButton="0" quotePrefix="0" xfId="2">
      <alignment horizontal="center" vertical="center"/>
    </xf>
    <xf numFmtId="0" fontId="17" fillId="2" borderId="11" applyAlignment="1" pivotButton="0" quotePrefix="0" xfId="2">
      <alignment horizontal="center" vertical="center"/>
    </xf>
    <xf numFmtId="0" fontId="15" fillId="2" borderId="21" applyAlignment="1" pivotButton="0" quotePrefix="0" xfId="1">
      <alignment horizontal="center" vertical="center" wrapText="1"/>
    </xf>
    <xf numFmtId="0" fontId="10" fillId="5" borderId="49" applyAlignment="1" pivotButton="0" quotePrefix="0" xfId="1">
      <alignment horizontal="center" vertical="center" wrapText="1"/>
    </xf>
    <xf numFmtId="0" fontId="10" fillId="5" borderId="47" applyAlignment="1" pivotButton="0" quotePrefix="0" xfId="1">
      <alignment horizontal="center" vertical="center" wrapText="1"/>
    </xf>
    <xf numFmtId="0" fontId="10" fillId="5" borderId="50" applyAlignment="1" pivotButton="0" quotePrefix="0" xfId="1">
      <alignment horizontal="center" vertical="center" wrapText="1"/>
    </xf>
    <xf numFmtId="0" fontId="5" fillId="5" borderId="51" applyAlignment="1" pivotButton="0" quotePrefix="0" xfId="1">
      <alignment horizontal="center" vertical="center" wrapText="1"/>
    </xf>
    <xf numFmtId="0" fontId="20" fillId="5" borderId="53" applyAlignment="1" pivotButton="0" quotePrefix="0" xfId="1">
      <alignment horizontal="center" vertical="center" wrapText="1"/>
    </xf>
    <xf numFmtId="0" fontId="20" fillId="5" borderId="54" applyAlignment="1" pivotButton="0" quotePrefix="0" xfId="1">
      <alignment horizontal="center" vertical="center" wrapText="1"/>
    </xf>
    <xf numFmtId="0" fontId="10" fillId="5" borderId="55" applyAlignment="1" pivotButton="0" quotePrefix="0" xfId="1">
      <alignment horizontal="center" vertical="center" wrapText="1"/>
    </xf>
    <xf numFmtId="0" fontId="5" fillId="5" borderId="56" applyAlignment="1" pivotButton="0" quotePrefix="0" xfId="1">
      <alignment horizontal="center" vertical="center" wrapText="1"/>
    </xf>
    <xf numFmtId="0" fontId="10" fillId="5" borderId="57" applyAlignment="1" pivotButton="0" quotePrefix="0" xfId="1">
      <alignment horizontal="center" vertical="center" wrapText="1"/>
    </xf>
    <xf numFmtId="0" fontId="18" fillId="11" borderId="7" applyAlignment="1" pivotButton="0" quotePrefix="0" xfId="2">
      <alignment horizontal="center" vertical="center"/>
    </xf>
    <xf numFmtId="0" fontId="18" fillId="11" borderId="6" applyAlignment="1" pivotButton="0" quotePrefix="0" xfId="2">
      <alignment horizontal="center" vertical="center"/>
    </xf>
    <xf numFmtId="0" fontId="18" fillId="11" borderId="5" applyAlignment="1" pivotButton="0" quotePrefix="0" xfId="2">
      <alignment horizontal="center" vertical="center"/>
    </xf>
    <xf numFmtId="0" fontId="21" fillId="14" borderId="52" applyAlignment="1" pivotButton="0" quotePrefix="0" xfId="1">
      <alignment horizontal="center" vertical="center" wrapText="1"/>
    </xf>
    <xf numFmtId="0" fontId="21" fillId="14" borderId="5" applyAlignment="1" pivotButton="0" quotePrefix="0" xfId="1">
      <alignment horizontal="center" vertical="center" wrapText="1"/>
    </xf>
    <xf numFmtId="0" fontId="12" fillId="10" borderId="46" applyAlignment="1" pivotButton="0" quotePrefix="0" xfId="1">
      <alignment horizontal="center" vertical="center" wrapText="1"/>
    </xf>
    <xf numFmtId="0" fontId="12" fillId="10" borderId="45" applyAlignment="1" pivotButton="0" quotePrefix="0" xfId="1">
      <alignment horizontal="center" vertical="center" wrapText="1"/>
    </xf>
    <xf numFmtId="0" fontId="12" fillId="10" borderId="48" applyAlignment="1" pivotButton="0" quotePrefix="0" xfId="1">
      <alignment horizontal="center" vertical="center" wrapText="1"/>
    </xf>
    <xf numFmtId="0" fontId="22" fillId="5" borderId="23" applyAlignment="1" pivotButton="0" quotePrefix="0" xfId="1">
      <alignment horizontal="center" vertical="center" wrapText="1"/>
    </xf>
    <xf numFmtId="0" fontId="22" fillId="5" borderId="22" applyAlignment="1" pivotButton="0" quotePrefix="0" xfId="1">
      <alignment horizontal="center" vertical="center" wrapText="1"/>
    </xf>
    <xf numFmtId="0" fontId="10" fillId="5" borderId="54" applyAlignment="1" pivotButton="0" quotePrefix="0" xfId="1">
      <alignment horizontal="center" vertical="center" wrapText="1"/>
    </xf>
    <xf numFmtId="0" fontId="10" fillId="5" borderId="21" applyAlignment="1" pivotButton="0" quotePrefix="0" xfId="1">
      <alignment horizontal="center" vertical="center" wrapText="1"/>
    </xf>
    <xf numFmtId="0" fontId="5" fillId="12" borderId="7" applyAlignment="1" pivotButton="0" quotePrefix="0" xfId="1">
      <alignment horizontal="center" vertical="center" wrapText="1"/>
    </xf>
    <xf numFmtId="0" fontId="5" fillId="12" borderId="5" applyAlignment="1" pivotButton="0" quotePrefix="0" xfId="1">
      <alignment horizontal="center" vertical="center" wrapText="1"/>
    </xf>
    <xf numFmtId="0" fontId="12" fillId="12" borderId="9" applyAlignment="1" pivotButton="0" quotePrefix="0" xfId="1">
      <alignment horizontal="center" vertical="center" wrapText="1"/>
    </xf>
    <xf numFmtId="0" fontId="12" fillId="12" borderId="11" applyAlignment="1" pivotButton="0" quotePrefix="0" xfId="1">
      <alignment horizontal="center" vertical="center" wrapText="1"/>
    </xf>
    <xf numFmtId="0" fontId="12" fillId="12" borderId="10" applyAlignment="1" pivotButton="0" quotePrefix="0" xfId="1">
      <alignment horizontal="center" vertical="center" wrapText="1"/>
    </xf>
    <xf numFmtId="1" fontId="12" fillId="12" borderId="7" applyAlignment="1" pivotButton="0" quotePrefix="0" xfId="1">
      <alignment horizontal="right" vertical="center" wrapText="1"/>
    </xf>
    <xf numFmtId="1" fontId="12" fillId="12" borderId="6" applyAlignment="1" pivotButton="0" quotePrefix="0" xfId="1">
      <alignment horizontal="right" vertical="center" wrapText="1"/>
    </xf>
    <xf numFmtId="1" fontId="12" fillId="12" borderId="5" applyAlignment="1" pivotButton="0" quotePrefix="0" xfId="1">
      <alignment horizontal="right" vertical="center" wrapText="1"/>
    </xf>
    <xf numFmtId="1" fontId="12" fillId="13" borderId="7" applyAlignment="1" pivotButton="0" quotePrefix="0" xfId="1">
      <alignment horizontal="right" vertical="center" wrapText="1"/>
    </xf>
    <xf numFmtId="1" fontId="12" fillId="13" borderId="5" applyAlignment="1" pivotButton="0" quotePrefix="0" xfId="1">
      <alignment horizontal="right" vertical="center" wrapText="1"/>
    </xf>
    <xf numFmtId="0" fontId="13" fillId="2" borderId="2" applyAlignment="1" pivotButton="0" quotePrefix="0" xfId="2">
      <alignment horizontal="center" vertical="center" textRotation="90"/>
    </xf>
    <xf numFmtId="0" fontId="13" fillId="2" borderId="21" applyAlignment="1" pivotButton="0" quotePrefix="0" xfId="2">
      <alignment horizontal="center" vertical="center" textRotation="90"/>
    </xf>
    <xf numFmtId="0" fontId="14" fillId="8" borderId="24" applyAlignment="1" pivotButton="0" quotePrefix="0" xfId="1">
      <alignment horizontal="center" vertical="center" textRotation="90" wrapText="1"/>
    </xf>
    <xf numFmtId="0" fontId="14" fillId="8" borderId="2" applyAlignment="1" pivotButton="0" quotePrefix="0" xfId="1">
      <alignment horizontal="center" vertical="center" textRotation="90" wrapText="1"/>
    </xf>
    <xf numFmtId="0" fontId="14" fillId="8" borderId="21" applyAlignment="1" pivotButton="0" quotePrefix="0" xfId="1">
      <alignment horizontal="center" vertical="center" textRotation="90" wrapText="1"/>
    </xf>
    <xf numFmtId="0" fontId="14" fillId="2" borderId="24" applyAlignment="1" pivotButton="0" quotePrefix="0" xfId="1">
      <alignment horizontal="center" vertical="center" textRotation="90" wrapText="1"/>
    </xf>
    <xf numFmtId="0" fontId="14" fillId="2" borderId="2" applyAlignment="1" pivotButton="0" quotePrefix="0" xfId="1">
      <alignment horizontal="center" vertical="center" textRotation="90" wrapText="1"/>
    </xf>
    <xf numFmtId="0" fontId="14" fillId="2" borderId="21" applyAlignment="1" pivotButton="0" quotePrefix="0" xfId="1">
      <alignment horizontal="center" vertical="center" textRotation="90" wrapText="1"/>
    </xf>
    <xf numFmtId="0" fontId="16" fillId="8" borderId="24" applyAlignment="1" pivotButton="0" quotePrefix="0" xfId="1">
      <alignment horizontal="center" vertical="center" wrapText="1"/>
    </xf>
    <xf numFmtId="0" fontId="16" fillId="8" borderId="21" applyAlignment="1" pivotButton="0" quotePrefix="0" xfId="1">
      <alignment horizontal="center" vertical="center" wrapText="1"/>
    </xf>
    <xf numFmtId="0" fontId="19" fillId="4" borderId="7" applyAlignment="1" pivotButton="0" quotePrefix="0" xfId="1">
      <alignment horizontal="center" vertical="center" wrapText="1"/>
    </xf>
    <xf numFmtId="0" fontId="19" fillId="4" borderId="6" applyAlignment="1" pivotButton="0" quotePrefix="0" xfId="1">
      <alignment horizontal="center" vertical="center" wrapText="1"/>
    </xf>
    <xf numFmtId="0" fontId="19" fillId="4" borderId="5" applyAlignment="1" pivotButton="0" quotePrefix="0" xfId="1">
      <alignment horizontal="center" vertical="center" wrapText="1"/>
    </xf>
    <xf numFmtId="0" fontId="21" fillId="14" borderId="6" applyAlignment="1" pivotButton="0" quotePrefix="0" xfId="1">
      <alignment horizontal="center" vertical="center" wrapText="1"/>
    </xf>
    <xf numFmtId="0" fontId="12" fillId="3" borderId="9" applyAlignment="1" pivotButton="0" quotePrefix="0" xfId="1">
      <alignment horizontal="center" vertical="center" wrapText="1"/>
    </xf>
    <xf numFmtId="0" fontId="12" fillId="3" borderId="11" applyAlignment="1" pivotButton="0" quotePrefix="0" xfId="1">
      <alignment horizontal="center" vertical="center" wrapText="1"/>
    </xf>
    <xf numFmtId="0" fontId="12" fillId="3" borderId="10" applyAlignment="1" pivotButton="0" quotePrefix="0" xfId="1">
      <alignment horizontal="center" vertical="center" wrapText="1"/>
    </xf>
    <xf numFmtId="1" fontId="12" fillId="6" borderId="7" applyAlignment="1" pivotButton="0" quotePrefix="0" xfId="1">
      <alignment horizontal="center" vertical="center" wrapText="1"/>
    </xf>
    <xf numFmtId="1" fontId="12" fillId="6" borderId="6" applyAlignment="1" pivotButton="0" quotePrefix="0" xfId="1">
      <alignment horizontal="center" vertical="center" wrapText="1"/>
    </xf>
    <xf numFmtId="1" fontId="12" fillId="6" borderId="5" applyAlignment="1" pivotButton="0" quotePrefix="0" xfId="1">
      <alignment horizontal="center" vertical="center" wrapText="1"/>
    </xf>
    <xf numFmtId="0" fontId="3" fillId="12" borderId="40" applyAlignment="1" pivotButton="0" quotePrefix="0" xfId="0">
      <alignment horizontal="center" vertical="center"/>
    </xf>
    <xf numFmtId="0" fontId="3" fillId="12" borderId="41" applyAlignment="1" pivotButton="0" quotePrefix="0" xfId="0">
      <alignment horizontal="center" vertical="center"/>
    </xf>
    <xf numFmtId="0" fontId="3" fillId="12" borderId="37" applyAlignment="1" pivotButton="0" quotePrefix="0" xfId="0">
      <alignment horizontal="center" vertical="center"/>
    </xf>
    <xf numFmtId="0" fontId="3" fillId="12" borderId="38" applyAlignment="1" pivotButton="0" quotePrefix="0" xfId="0">
      <alignment horizontal="center" vertical="center"/>
    </xf>
    <xf numFmtId="0" fontId="23" fillId="0" borderId="70" applyAlignment="1" pivotButton="0" quotePrefix="0" xfId="0">
      <alignment horizontal="center" vertical="center"/>
    </xf>
    <xf numFmtId="0" fontId="24" fillId="0" borderId="71" applyAlignment="1" pivotButton="0" quotePrefix="0" xfId="0">
      <alignment horizontal="center" vertical="center"/>
    </xf>
    <xf numFmtId="0" fontId="0" fillId="0" borderId="71" pivotButton="0" quotePrefix="0" xfId="0"/>
    <xf numFmtId="0" fontId="2" fillId="0" borderId="71" applyAlignment="1" pivotButton="0" quotePrefix="0" xfId="0">
      <alignment horizontal="left" vertical="center"/>
    </xf>
    <xf numFmtId="14" fontId="2" fillId="0" borderId="71" applyAlignment="1" pivotButton="0" quotePrefix="0" xfId="0">
      <alignment horizontal="center" vertical="center"/>
    </xf>
    <xf numFmtId="14" fontId="2" fillId="0" borderId="71" applyAlignment="1" applyProtection="1" pivotButton="0" quotePrefix="0" xfId="0">
      <alignment horizontal="center" vertical="center"/>
      <protection locked="0" hidden="0"/>
    </xf>
    <xf numFmtId="0" fontId="11" fillId="0" borderId="72" applyAlignment="1" applyProtection="1" pivotButton="0" quotePrefix="0" xfId="0">
      <alignment horizontal="center"/>
      <protection locked="0" hidden="0"/>
    </xf>
    <xf numFmtId="0" fontId="2" fillId="2" borderId="73" applyAlignment="1" pivotButton="0" quotePrefix="0" xfId="0">
      <alignment vertical="center" readingOrder="2"/>
    </xf>
    <xf numFmtId="0" fontId="2" fillId="2" borderId="74" applyAlignment="1" pivotButton="0" quotePrefix="0" xfId="0">
      <alignment vertical="center" readingOrder="2"/>
    </xf>
    <xf numFmtId="0" fontId="2" fillId="2" borderId="75" applyAlignment="1" pivotButton="0" quotePrefix="0" xfId="0">
      <alignment horizontal="center" vertical="center" readingOrder="2"/>
    </xf>
    <xf numFmtId="0" fontId="0" fillId="0" borderId="75" pivotButton="0" quotePrefix="0" xfId="0"/>
    <xf numFmtId="0" fontId="2" fillId="3" borderId="76" applyAlignment="1" pivotButton="0" quotePrefix="0" xfId="0">
      <alignment horizontal="right" vertical="center"/>
    </xf>
    <xf numFmtId="0" fontId="23" fillId="0" borderId="77" applyAlignment="1" pivotButton="0" quotePrefix="0" xfId="0">
      <alignment horizontal="center" vertical="center"/>
    </xf>
    <xf numFmtId="0" fontId="23" fillId="3" borderId="76" applyAlignment="1" pivotButton="0" quotePrefix="0" xfId="0">
      <alignment horizontal="right" vertical="center"/>
    </xf>
    <xf numFmtId="14" fontId="23" fillId="0" borderId="77" applyAlignment="1" pivotButton="0" quotePrefix="0" xfId="0">
      <alignment horizontal="center" vertical="center"/>
    </xf>
    <xf numFmtId="0" fontId="2" fillId="3" borderId="78" applyAlignment="1" pivotButton="0" quotePrefix="0" xfId="0">
      <alignment vertical="center"/>
    </xf>
    <xf numFmtId="0" fontId="23" fillId="0" borderId="79" applyAlignment="1" pivotButton="0" quotePrefix="0" xfId="0">
      <alignment vertical="center"/>
    </xf>
    <xf numFmtId="0" fontId="23" fillId="0" borderId="80" applyAlignment="1" pivotButton="0" quotePrefix="0" xfId="0">
      <alignment vertical="center"/>
    </xf>
    <xf numFmtId="0" fontId="2" fillId="3" borderId="81" applyAlignment="1" pivotButton="0" quotePrefix="0" xfId="0">
      <alignment horizontal="right" vertical="center"/>
    </xf>
    <xf numFmtId="0" fontId="23" fillId="0" borderId="82" applyAlignment="1" pivotButton="0" quotePrefix="0" xfId="0">
      <alignment horizontal="center" vertical="center"/>
    </xf>
    <xf numFmtId="0" fontId="23" fillId="3" borderId="81" applyAlignment="1" pivotButton="0" quotePrefix="0" xfId="0">
      <alignment horizontal="right" vertical="center"/>
    </xf>
    <xf numFmtId="0" fontId="23" fillId="15" borderId="82" applyAlignment="1" pivotButton="0" quotePrefix="0" xfId="0">
      <alignment horizontal="center" vertical="center"/>
    </xf>
    <xf numFmtId="0" fontId="2" fillId="3" borderId="83" applyAlignment="1" pivotButton="0" quotePrefix="0" xfId="0">
      <alignment vertical="center"/>
    </xf>
    <xf numFmtId="0" fontId="23" fillId="0" borderId="84" applyAlignment="1" pivotButton="0" quotePrefix="0" xfId="0">
      <alignment vertical="center"/>
    </xf>
    <xf numFmtId="0" fontId="2" fillId="3" borderId="85" applyAlignment="1" pivotButton="0" quotePrefix="0" xfId="0">
      <alignment vertical="center"/>
    </xf>
    <xf numFmtId="0" fontId="23" fillId="0" borderId="86" applyAlignment="1" pivotButton="0" quotePrefix="0" xfId="0">
      <alignment horizontal="center" vertical="center"/>
    </xf>
    <xf numFmtId="0" fontId="25" fillId="0" borderId="87" applyAlignment="1" pivotButton="0" quotePrefix="0" xfId="0">
      <alignment horizontal="right" vertical="center"/>
    </xf>
    <xf numFmtId="0" fontId="25" fillId="0" borderId="88" applyAlignment="1" pivotButton="0" quotePrefix="0" xfId="0">
      <alignment horizontal="left" vertical="center"/>
    </xf>
    <xf numFmtId="0" fontId="25" fillId="0" borderId="89" applyAlignment="1" pivotButton="0" quotePrefix="0" xfId="0">
      <alignment horizontal="left" vertical="center"/>
    </xf>
    <xf numFmtId="0" fontId="26" fillId="15" borderId="90" applyAlignment="1" pivotButton="0" quotePrefix="0" xfId="0">
      <alignment horizontal="right" vertical="center"/>
    </xf>
    <xf numFmtId="0" fontId="25" fillId="0" borderId="91" applyAlignment="1" pivotButton="0" quotePrefix="0" xfId="0">
      <alignment horizontal="left" vertical="center"/>
    </xf>
    <xf numFmtId="0" fontId="25" fillId="0" borderId="82" applyAlignment="1" pivotButton="0" quotePrefix="0" xfId="0">
      <alignment horizontal="left" vertical="center"/>
    </xf>
    <xf numFmtId="0" fontId="2" fillId="0" borderId="92" applyAlignment="1" pivotButton="0" quotePrefix="0" xfId="0">
      <alignment vertical="center" readingOrder="2"/>
    </xf>
    <xf numFmtId="0" fontId="2" fillId="0" borderId="85" applyAlignment="1" pivotButton="0" quotePrefix="0" xfId="0">
      <alignment vertical="center" readingOrder="2"/>
    </xf>
    <xf numFmtId="0" fontId="2" fillId="0" borderId="86" applyAlignment="1" pivotButton="0" quotePrefix="0" xfId="0">
      <alignment vertical="center" readingOrder="2"/>
    </xf>
    <xf numFmtId="0" fontId="2" fillId="3" borderId="76" applyAlignment="1" pivotButton="0" quotePrefix="0" xfId="0">
      <alignment horizontal="center" vertical="center" wrapText="1"/>
    </xf>
    <xf numFmtId="0" fontId="23" fillId="0" borderId="93" applyAlignment="1" pivotButton="0" quotePrefix="0" xfId="0">
      <alignment horizontal="center" vertical="center" wrapText="1"/>
    </xf>
    <xf numFmtId="0" fontId="0" fillId="0" borderId="94" pivotButton="0" quotePrefix="0" xfId="0"/>
    <xf numFmtId="0" fontId="0" fillId="0" borderId="95" pivotButton="0" quotePrefix="0" xfId="0"/>
    <xf numFmtId="0" fontId="2" fillId="3" borderId="96" applyAlignment="1" pivotButton="0" quotePrefix="0" xfId="0">
      <alignment horizontal="right" vertical="center"/>
    </xf>
    <xf numFmtId="0" fontId="23" fillId="0" borderId="97" applyAlignment="1" pivotButton="0" quotePrefix="0" xfId="0">
      <alignment horizontal="center" vertical="center"/>
    </xf>
    <xf numFmtId="0" fontId="23" fillId="3" borderId="83" applyAlignment="1" pivotButton="0" quotePrefix="0" xfId="0">
      <alignment horizontal="right" vertical="center"/>
    </xf>
    <xf numFmtId="0" fontId="21" fillId="0" borderId="97" applyAlignment="1" pivotButton="0" quotePrefix="0" xfId="0">
      <alignment horizontal="center" vertical="center"/>
    </xf>
    <xf numFmtId="0" fontId="23" fillId="3" borderId="68" applyAlignment="1" pivotButton="0" quotePrefix="0" xfId="0">
      <alignment horizontal="center" vertical="center" wrapText="1"/>
    </xf>
    <xf numFmtId="0" fontId="23" fillId="0" borderId="98" applyAlignment="1" pivotButton="0" quotePrefix="0" xfId="0">
      <alignment horizontal="center" vertical="center" wrapText="1"/>
    </xf>
    <xf numFmtId="0" fontId="0" fillId="0" borderId="64" pivotButton="0" quotePrefix="0" xfId="0"/>
    <xf numFmtId="0" fontId="2" fillId="3" borderId="83" applyAlignment="1" pivotButton="0" quotePrefix="0" xfId="0">
      <alignment horizontal="right" vertical="center"/>
    </xf>
    <xf numFmtId="0" fontId="23" fillId="0" borderId="99" applyAlignment="1" pivotButton="0" quotePrefix="0" xfId="0">
      <alignment horizontal="center" vertical="center"/>
    </xf>
    <xf numFmtId="0" fontId="0" fillId="0" borderId="100" pivotButton="0" quotePrefix="0" xfId="0"/>
    <xf numFmtId="0" fontId="21" fillId="0" borderId="99" applyAlignment="1" pivotButton="0" quotePrefix="0" xfId="0">
      <alignment horizontal="center" vertical="center"/>
    </xf>
    <xf numFmtId="0" fontId="21" fillId="3" borderId="83" applyAlignment="1" pivotButton="0" quotePrefix="0" xfId="0">
      <alignment horizontal="center" vertical="center"/>
    </xf>
    <xf numFmtId="0" fontId="23" fillId="0" borderId="101" applyAlignment="1" pivotButton="0" quotePrefix="0" xfId="0">
      <alignment horizontal="center" vertical="center" wrapText="1"/>
    </xf>
    <xf numFmtId="0" fontId="0" fillId="0" borderId="102" pivotButton="0" quotePrefix="0" xfId="0"/>
    <xf numFmtId="0" fontId="23" fillId="0" borderId="103" applyAlignment="1" pivotButton="0" quotePrefix="0" xfId="0">
      <alignment horizontal="center" vertical="center" wrapText="1"/>
    </xf>
    <xf numFmtId="0" fontId="26" fillId="15" borderId="104" applyAlignment="1" pivotButton="0" quotePrefix="0" xfId="0">
      <alignment horizontal="right" vertical="center"/>
    </xf>
    <xf numFmtId="0" fontId="26" fillId="15" borderId="105" applyAlignment="1" pivotButton="0" quotePrefix="0" xfId="0">
      <alignment horizontal="left" vertical="center"/>
    </xf>
    <xf numFmtId="0" fontId="26" fillId="15" borderId="105" applyAlignment="1" pivotButton="0" quotePrefix="0" xfId="0">
      <alignment horizontal="center" vertical="center"/>
    </xf>
    <xf numFmtId="0" fontId="26" fillId="15" borderId="106" applyAlignment="1" pivotButton="0" quotePrefix="0" xfId="0">
      <alignment horizontal="center" vertical="center"/>
    </xf>
    <xf numFmtId="0" fontId="2" fillId="2" borderId="1" applyAlignment="1" pivotButton="0" quotePrefix="0" xfId="0">
      <alignment horizontal="center" vertical="center" readingOrder="2"/>
    </xf>
    <xf numFmtId="0" fontId="21" fillId="3" borderId="1" applyAlignment="1" pivotButton="0" quotePrefix="0" xfId="0">
      <alignment horizontal="center" vertical="center"/>
    </xf>
    <xf numFmtId="0" fontId="2" fillId="16" borderId="107" applyAlignment="1" pivotButton="0" quotePrefix="0" xfId="0">
      <alignment horizontal="center" readingOrder="2"/>
    </xf>
    <xf numFmtId="0" fontId="0" fillId="0" borderId="79" pivotButton="0" quotePrefix="0" xfId="0"/>
    <xf numFmtId="0" fontId="0" fillId="0" borderId="108" pivotButton="0" quotePrefix="0" xfId="0"/>
    <xf numFmtId="0" fontId="27" fillId="17" borderId="109" applyAlignment="1" pivotButton="0" quotePrefix="0" xfId="0">
      <alignment horizontal="center" vertical="center"/>
    </xf>
    <xf numFmtId="0" fontId="0" fillId="0" borderId="80" pivotButton="0" quotePrefix="0" xfId="0"/>
    <xf numFmtId="0" fontId="2" fillId="16" borderId="60" applyAlignment="1" pivotButton="0" quotePrefix="0" xfId="0">
      <alignment vertical="center" wrapText="1" readingOrder="2"/>
    </xf>
    <xf numFmtId="0" fontId="2" fillId="16" borderId="66" applyAlignment="1" pivotButton="0" quotePrefix="0" xfId="0">
      <alignment vertical="center" wrapText="1" readingOrder="2"/>
    </xf>
    <xf numFmtId="0" fontId="28" fillId="16" borderId="110" applyAlignment="1" pivotButton="0" quotePrefix="0" xfId="0">
      <alignment horizontal="center" vertical="center"/>
    </xf>
    <xf numFmtId="49" fontId="2" fillId="16" borderId="110" applyAlignment="1" pivotButton="0" quotePrefix="0" xfId="0">
      <alignment horizontal="center" vertical="center"/>
    </xf>
    <xf numFmtId="0" fontId="27" fillId="0" borderId="111" applyAlignment="1" pivotButton="0" quotePrefix="0" xfId="0">
      <alignment horizontal="center" vertical="center"/>
    </xf>
    <xf numFmtId="0" fontId="0" fillId="0" borderId="112" pivotButton="0" quotePrefix="0" xfId="0"/>
    <xf numFmtId="0" fontId="2" fillId="16" borderId="113" applyAlignment="1" pivotButton="0" quotePrefix="0" xfId="0">
      <alignment vertical="center" wrapText="1" readingOrder="2"/>
    </xf>
    <xf numFmtId="0" fontId="2" fillId="16" borderId="87" applyAlignment="1" pivotButton="0" quotePrefix="0" xfId="0">
      <alignment vertical="center" wrapText="1" readingOrder="2"/>
    </xf>
    <xf numFmtId="0" fontId="29" fillId="16" borderId="114" applyAlignment="1" pivotButton="0" quotePrefix="0" xfId="0">
      <alignment horizontal="center" vertical="center"/>
    </xf>
    <xf numFmtId="0" fontId="0" fillId="0" borderId="115" pivotButton="0" quotePrefix="0" xfId="0"/>
    <xf numFmtId="0" fontId="0" fillId="0" borderId="116" pivotButton="0" quotePrefix="0" xfId="0"/>
    <xf numFmtId="0" fontId="2" fillId="16" borderId="117" applyAlignment="1" pivotButton="0" quotePrefix="0" xfId="0">
      <alignment vertical="center" wrapText="1" readingOrder="2"/>
    </xf>
    <xf numFmtId="0" fontId="2" fillId="16" borderId="118" applyAlignment="1" pivotButton="0" quotePrefix="0" xfId="0">
      <alignment vertical="center" wrapText="1" readingOrder="2"/>
    </xf>
    <xf numFmtId="0" fontId="28" fillId="16" borderId="119" applyAlignment="1" pivotButton="0" quotePrefix="0" xfId="0">
      <alignment horizontal="center" vertical="center"/>
    </xf>
    <xf numFmtId="49" fontId="2" fillId="16" borderId="119" applyAlignment="1" pivotButton="0" quotePrefix="0" xfId="0">
      <alignment horizontal="center" vertical="center"/>
    </xf>
    <xf numFmtId="0" fontId="27" fillId="0" borderId="120" applyAlignment="1" pivotButton="0" quotePrefix="0" xfId="0">
      <alignment horizontal="center" vertical="center"/>
    </xf>
    <xf numFmtId="0" fontId="29" fillId="16" borderId="121" applyAlignment="1" pivotButton="0" quotePrefix="0" xfId="0">
      <alignment horizontal="center" vertical="center"/>
    </xf>
    <xf numFmtId="0" fontId="2" fillId="16" borderId="121" applyAlignment="1" pivotButton="0" quotePrefix="0" xfId="0">
      <alignment horizontal="center" vertical="center"/>
    </xf>
    <xf numFmtId="0" fontId="0" fillId="0" borderId="101" pivotButton="0" quotePrefix="0" xfId="0"/>
    <xf numFmtId="0" fontId="0" fillId="0" borderId="103" pivotButton="0" quotePrefix="0" xfId="0"/>
    <xf numFmtId="0" fontId="2" fillId="4" borderId="104" applyAlignment="1" pivotButton="0" quotePrefix="0" xfId="0">
      <alignment horizontal="center" readingOrder="2"/>
    </xf>
    <xf numFmtId="0" fontId="0" fillId="0" borderId="122" pivotButton="0" quotePrefix="0" xfId="0"/>
    <xf numFmtId="0" fontId="2" fillId="4" borderId="123" applyAlignment="1" pivotButton="0" quotePrefix="0" xfId="0">
      <alignment horizontal="right" wrapText="1" readingOrder="2"/>
    </xf>
    <xf numFmtId="0" fontId="0" fillId="0" borderId="124" pivotButton="0" quotePrefix="0" xfId="0"/>
    <xf numFmtId="0" fontId="28" fillId="4" borderId="125" applyAlignment="1" pivotButton="0" quotePrefix="0" xfId="0">
      <alignment horizontal="center" vertical="top" wrapText="1"/>
    </xf>
    <xf numFmtId="0" fontId="2" fillId="4" borderId="125" applyAlignment="1" pivotButton="0" quotePrefix="0" xfId="0">
      <alignment horizontal="center" vertical="top" wrapText="1"/>
    </xf>
    <xf numFmtId="0" fontId="2" fillId="4" borderId="77" applyAlignment="1" pivotButton="0" quotePrefix="0" xfId="0">
      <alignment horizontal="center" vertical="top" wrapText="1"/>
    </xf>
    <xf numFmtId="0" fontId="27" fillId="0" borderId="126" applyAlignment="1" pivotButton="0" quotePrefix="0" xfId="0">
      <alignment horizontal="center" vertical="center"/>
    </xf>
    <xf numFmtId="0" fontId="0" fillId="0" borderId="127" pivotButton="0" quotePrefix="0" xfId="0"/>
    <xf numFmtId="0" fontId="0" fillId="0" borderId="128" pivotButton="0" quotePrefix="0" xfId="0"/>
    <xf numFmtId="0" fontId="29" fillId="4" borderId="129" applyAlignment="1" pivotButton="0" quotePrefix="0" xfId="0">
      <alignment horizontal="center" vertical="center"/>
    </xf>
    <xf numFmtId="0" fontId="29" fillId="4" borderId="99" applyAlignment="1" pivotButton="0" quotePrefix="0" xfId="0">
      <alignment horizontal="center" vertical="center"/>
    </xf>
    <xf numFmtId="0" fontId="0" fillId="0" borderId="113" pivotButton="0" quotePrefix="0" xfId="0"/>
    <xf numFmtId="0" fontId="28" fillId="4" borderId="130" applyAlignment="1" pivotButton="0" quotePrefix="0" xfId="0">
      <alignment horizontal="center" vertical="center"/>
    </xf>
    <xf numFmtId="49" fontId="2" fillId="4" borderId="130" applyAlignment="1" pivotButton="0" quotePrefix="0" xfId="0">
      <alignment horizontal="center" vertical="center"/>
    </xf>
    <xf numFmtId="0" fontId="28" fillId="4" borderId="77" applyAlignment="1" pivotButton="0" quotePrefix="0" xfId="0">
      <alignment horizontal="center" vertical="center"/>
    </xf>
    <xf numFmtId="0" fontId="29" fillId="4" borderId="131" applyAlignment="1" pivotButton="0" quotePrefix="0" xfId="0">
      <alignment horizontal="center" vertical="center"/>
    </xf>
    <xf numFmtId="0" fontId="30" fillId="4" borderId="123" applyAlignment="1" pivotButton="0" quotePrefix="0" xfId="0">
      <alignment horizontal="right" wrapText="1" readingOrder="2"/>
    </xf>
    <xf numFmtId="0" fontId="2" fillId="4" borderId="131" applyAlignment="1" pivotButton="0" quotePrefix="0" xfId="0">
      <alignment horizontal="center" vertical="center"/>
    </xf>
    <xf numFmtId="0" fontId="2" fillId="4" borderId="99" applyAlignment="1" pivotButton="0" quotePrefix="0" xfId="0">
      <alignment horizontal="center" vertical="center"/>
    </xf>
    <xf numFmtId="0" fontId="27" fillId="0" borderId="132" applyAlignment="1" pivotButton="0" quotePrefix="0" xfId="0">
      <alignment horizontal="center" vertical="center"/>
    </xf>
    <xf numFmtId="0" fontId="2" fillId="14" borderId="123" applyAlignment="1" pivotButton="0" quotePrefix="0" xfId="0">
      <alignment horizontal="center" vertical="center" readingOrder="2"/>
    </xf>
    <xf numFmtId="0" fontId="2" fillId="14" borderId="133" applyAlignment="1" pivotButton="0" quotePrefix="0" xfId="0">
      <alignment horizontal="center" readingOrder="2"/>
    </xf>
    <xf numFmtId="0" fontId="2" fillId="14" borderId="133" applyAlignment="1" pivotButton="0" quotePrefix="0" xfId="0">
      <alignment readingOrder="2"/>
    </xf>
    <xf numFmtId="0" fontId="27" fillId="17" borderId="134" applyAlignment="1" pivotButton="0" quotePrefix="0" xfId="0">
      <alignment horizontal="center" vertical="center"/>
    </xf>
    <xf numFmtId="0" fontId="0" fillId="0" borderId="60" pivotButton="0" quotePrefix="0" xfId="0"/>
    <xf numFmtId="0" fontId="0" fillId="0" borderId="66" pivotButton="0" quotePrefix="0" xfId="0"/>
    <xf numFmtId="0" fontId="2" fillId="14" borderId="91" applyAlignment="1" pivotButton="0" quotePrefix="0" xfId="0">
      <alignment horizontal="center" vertical="center" readingOrder="2"/>
    </xf>
    <xf numFmtId="0" fontId="0" fillId="0" borderId="68" pivotButton="0" quotePrefix="0" xfId="0"/>
    <xf numFmtId="0" fontId="2" fillId="15" borderId="135" applyAlignment="1" pivotButton="0" quotePrefix="0" xfId="0">
      <alignment horizontal="center" readingOrder="2"/>
    </xf>
    <xf numFmtId="0" fontId="2" fillId="14" borderId="107" applyAlignment="1" pivotButton="0" quotePrefix="0" xfId="0">
      <alignment horizontal="center" vertical="center" wrapText="1"/>
    </xf>
    <xf numFmtId="0" fontId="11" fillId="18" borderId="0" applyProtection="1" pivotButton="0" quotePrefix="0" xfId="0">
      <protection locked="0" hidden="0"/>
    </xf>
    <xf numFmtId="0" fontId="2" fillId="14" borderId="81" applyAlignment="1" pivotButton="0" quotePrefix="0" xfId="0">
      <alignment horizontal="right" vertical="center" wrapText="1"/>
    </xf>
    <xf numFmtId="0" fontId="0" fillId="0" borderId="118" pivotButton="0" quotePrefix="0" xfId="0"/>
    <xf numFmtId="0" fontId="28" fillId="14" borderId="119" applyAlignment="1" pivotButton="0" quotePrefix="0" xfId="0">
      <alignment horizontal="center" vertical="center" wrapText="1" readingOrder="2"/>
    </xf>
    <xf numFmtId="0" fontId="28" fillId="14" borderId="119" applyAlignment="1" pivotButton="0" quotePrefix="0" xfId="0">
      <alignment horizontal="center" vertical="center" wrapText="1"/>
    </xf>
    <xf numFmtId="0" fontId="0" fillId="0" borderId="87" pivotButton="0" quotePrefix="0" xfId="0"/>
    <xf numFmtId="0" fontId="29" fillId="15" borderId="114" applyAlignment="1" pivotButton="0" quotePrefix="0" xfId="0">
      <alignment horizontal="center" vertical="center"/>
    </xf>
    <xf numFmtId="0" fontId="2" fillId="14" borderId="81" applyAlignment="1" pivotButton="0" quotePrefix="0" xfId="0">
      <alignment horizontal="right" vertical="center" wrapText="1" readingOrder="2"/>
    </xf>
    <xf numFmtId="9" fontId="28" fillId="14" borderId="119" applyAlignment="1" pivotButton="0" quotePrefix="0" xfId="0">
      <alignment horizontal="center" vertical="center" wrapText="1"/>
    </xf>
    <xf numFmtId="0" fontId="2" fillId="14" borderId="136" applyAlignment="1" pivotButton="0" quotePrefix="0" xfId="0">
      <alignment horizontal="right" vertical="center" wrapText="1" readingOrder="2"/>
    </xf>
    <xf numFmtId="0" fontId="0" fillId="0" borderId="137" pivotButton="0" quotePrefix="0" xfId="0"/>
    <xf numFmtId="0" fontId="31" fillId="14" borderId="119" applyAlignment="1" pivotButton="0" quotePrefix="0" xfId="0">
      <alignment horizontal="center" vertical="center" wrapText="1"/>
    </xf>
    <xf numFmtId="0" fontId="29" fillId="15" borderId="121" applyAlignment="1" pivotButton="0" quotePrefix="0" xfId="0">
      <alignment horizontal="center" vertical="center"/>
    </xf>
    <xf numFmtId="0" fontId="2" fillId="2" borderId="1" applyAlignment="1" pivotButton="0" quotePrefix="0" xfId="0">
      <alignment horizontal="center" vertical="center"/>
    </xf>
    <xf numFmtId="0" fontId="11" fillId="0" borderId="0" applyAlignment="1" applyProtection="1" pivotButton="0" quotePrefix="0" xfId="0">
      <alignment horizontal="center"/>
      <protection locked="0" hidden="0"/>
    </xf>
    <xf numFmtId="0" fontId="0" fillId="0" borderId="0" applyProtection="1" pivotButton="0" quotePrefix="0" xfId="0">
      <protection locked="0" hidden="0"/>
    </xf>
    <xf numFmtId="0" fontId="2" fillId="4" borderId="0" applyAlignment="1" applyProtection="1" pivotButton="0" quotePrefix="0" xfId="0">
      <alignment horizontal="right" vertical="center" wrapText="1" readingOrder="2"/>
      <protection locked="0" hidden="0"/>
    </xf>
    <xf numFmtId="0" fontId="32" fillId="4" borderId="0" applyAlignment="1" applyProtection="1" pivotButton="0" quotePrefix="0" xfId="0">
      <alignment horizontal="center" vertical="center"/>
      <protection locked="0" hidden="0"/>
    </xf>
    <xf numFmtId="49" fontId="11" fillId="4" borderId="0" applyAlignment="1" applyProtection="1" pivotButton="0" quotePrefix="0" xfId="0">
      <alignment horizontal="center" vertical="center"/>
      <protection locked="0" hidden="0"/>
    </xf>
    <xf numFmtId="0" fontId="33" fillId="4" borderId="0" applyAlignment="1" applyProtection="1" pivotButton="0" quotePrefix="0" xfId="0">
      <alignment horizontal="center" vertical="center"/>
      <protection locked="0" hidden="0"/>
    </xf>
    <xf numFmtId="0" fontId="11" fillId="4" borderId="0" applyAlignment="1" applyProtection="1" pivotButton="0" quotePrefix="0" xfId="0">
      <alignment horizontal="center" vertical="center"/>
      <protection locked="0" hidden="0"/>
    </xf>
    <xf numFmtId="0" fontId="18" fillId="11" borderId="16" applyAlignment="1" pivotButton="0" quotePrefix="0" xfId="2">
      <alignment horizontal="center" vertical="center"/>
    </xf>
    <xf numFmtId="0" fontId="0" fillId="0" borderId="6" pivotButton="0" quotePrefix="0" xfId="0"/>
    <xf numFmtId="0" fontId="0" fillId="0" borderId="5" pivotButton="0" quotePrefix="0" xfId="0"/>
    <xf numFmtId="0" fontId="19" fillId="4" borderId="16" applyAlignment="1" pivotButton="0" quotePrefix="0" xfId="1">
      <alignment horizontal="center" vertical="center" wrapText="1"/>
    </xf>
    <xf numFmtId="0" fontId="21" fillId="14" borderId="61" applyAlignment="1" pivotButton="0" quotePrefix="0" xfId="1">
      <alignment horizontal="center" vertical="center" wrapText="1"/>
    </xf>
    <xf numFmtId="0" fontId="12" fillId="10" borderId="62" applyAlignment="1" pivotButton="0" quotePrefix="0" xfId="1">
      <alignment horizontal="center" vertical="center" wrapText="1"/>
    </xf>
    <xf numFmtId="0" fontId="0" fillId="0" borderId="45" pivotButton="0" quotePrefix="0" xfId="0"/>
    <xf numFmtId="0" fontId="0" fillId="0" borderId="48" pivotButton="0" quotePrefix="0" xfId="0"/>
    <xf numFmtId="0" fontId="0" fillId="0" borderId="55" pivotButton="0" quotePrefix="0" xfId="0"/>
    <xf numFmtId="0" fontId="0" fillId="0" borderId="18" pivotButton="0" quotePrefix="0" xfId="0"/>
    <xf numFmtId="0" fontId="0" fillId="0" borderId="50" pivotButton="0" quotePrefix="0" xfId="0"/>
    <xf numFmtId="0" fontId="0" fillId="0" borderId="2" pivotButton="0" quotePrefix="0" xfId="0"/>
    <xf numFmtId="0" fontId="0" fillId="0" borderId="21" pivotButton="0" quotePrefix="0" xfId="0"/>
    <xf numFmtId="0" fontId="14" fillId="8" borderId="11" applyAlignment="1" pivotButton="0" quotePrefix="0" xfId="1">
      <alignment horizontal="center" vertical="center" textRotation="90" wrapText="1"/>
    </xf>
    <xf numFmtId="0" fontId="14" fillId="2" borderId="11" applyAlignment="1" pivotButton="0" quotePrefix="0" xfId="1">
      <alignment horizontal="center" vertical="center" textRotation="90" wrapText="1"/>
    </xf>
    <xf numFmtId="0" fontId="16" fillId="8" borderId="11" applyAlignment="1" pivotButton="0" quotePrefix="0" xfId="1">
      <alignment horizontal="center" vertical="center" wrapText="1"/>
    </xf>
    <xf numFmtId="0" fontId="0" fillId="0" borderId="59" pivotButton="0" quotePrefix="0" xfId="0"/>
    <xf numFmtId="1" fontId="12" fillId="6" borderId="16" applyAlignment="1" pivotButton="0" quotePrefix="0" xfId="1">
      <alignment horizontal="center" vertical="center" wrapText="1"/>
    </xf>
    <xf numFmtId="0" fontId="5" fillId="12" borderId="16" applyAlignment="1" pivotButton="0" quotePrefix="0" xfId="1">
      <alignment horizontal="center" vertical="center" wrapText="1"/>
    </xf>
    <xf numFmtId="1" fontId="12" fillId="12" borderId="16" applyAlignment="1" pivotButton="0" quotePrefix="0" xfId="1">
      <alignment horizontal="right" vertical="center" wrapText="1"/>
    </xf>
    <xf numFmtId="1" fontId="12" fillId="13" borderId="16" applyAlignment="1" pivotButton="0" quotePrefix="0" xfId="1">
      <alignment horizontal="right" vertical="center" wrapText="1"/>
    </xf>
    <xf numFmtId="0" fontId="3" fillId="12" borderId="65" applyAlignment="1" pivotButton="0" quotePrefix="0" xfId="0">
      <alignment horizontal="center" vertical="center"/>
    </xf>
    <xf numFmtId="0" fontId="3" fillId="12" borderId="67" applyAlignment="1" pivotButton="0" quotePrefix="0" xfId="0">
      <alignment horizontal="center" vertical="center"/>
    </xf>
    <xf numFmtId="0" fontId="0" fillId="0" borderId="41" pivotButton="0" quotePrefix="0" xfId="0"/>
    <xf numFmtId="0" fontId="0" fillId="0" borderId="38" pivotButton="0" quotePrefix="0" xfId="0"/>
  </cellXfs>
  <cellStyles count="4">
    <cellStyle name="Normal" xfId="0" builtinId="0"/>
    <cellStyle name="Normal 3" xfId="1"/>
    <cellStyle name="Normal 2" xfId="2"/>
    <cellStyle name="20% - Accent1 2" xfId="3"/>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59"/>
  <sheetViews>
    <sheetView rightToLeft="1" workbookViewId="0">
      <selection activeCell="A1" sqref="A1"/>
    </sheetView>
  </sheetViews>
  <sheetFormatPr baseColWidth="8" defaultRowHeight="15"/>
  <cols>
    <col width="36" customWidth="1" min="1" max="1"/>
    <col width="32.3984375" customWidth="1" min="2" max="2"/>
    <col width="28.8984375" customWidth="1" min="3" max="3"/>
    <col width="26.69921875" customWidth="1" min="4" max="4"/>
    <col width="20.59765625" customWidth="1" min="5" max="5"/>
    <col width="19.3984375" customWidth="1" min="6" max="6"/>
    <col width="16.59765625" customWidth="1" min="7" max="7"/>
    <col width="23.3984375" customWidth="1" min="8" max="8"/>
    <col width="9" customWidth="1" min="9" max="9"/>
  </cols>
  <sheetData>
    <row r="1" ht="24" customHeight="1">
      <c r="A1" s="145" t="inlineStr">
        <is>
          <t xml:space="preserve">نموذج تقييم لمنزل السيد/ة </t>
        </is>
      </c>
      <c r="B1" s="146" t="n"/>
      <c r="C1" s="147" t="n"/>
      <c r="D1" s="148" t="n"/>
      <c r="E1" s="149" t="n"/>
      <c r="F1" s="149" t="n"/>
      <c r="G1" s="150" t="inlineStr">
        <is>
          <t>زيارة الترميم</t>
        </is>
      </c>
      <c r="H1" s="150" t="inlineStr">
        <is>
          <t xml:space="preserve">        /                /2026</t>
        </is>
      </c>
      <c r="J1" s="151" t="n"/>
    </row>
    <row r="2" ht="16.2" customHeight="1">
      <c r="A2" s="152" t="inlineStr">
        <is>
          <t>1. معلومات عامة</t>
        </is>
      </c>
      <c r="B2" s="153" t="n"/>
      <c r="C2" s="153" t="n"/>
      <c r="D2" s="153" t="n"/>
      <c r="E2" s="153" t="n"/>
      <c r="F2" s="154" t="n"/>
      <c r="G2" s="147" t="n"/>
      <c r="H2" s="155" t="n"/>
    </row>
    <row r="3" ht="17.4" customHeight="1">
      <c r="A3" s="156" t="inlineStr">
        <is>
          <t>البلد:</t>
        </is>
      </c>
      <c r="B3" s="157" t="inlineStr">
        <is>
          <t>Syria</t>
        </is>
      </c>
      <c r="C3" s="158" t="inlineStr">
        <is>
          <t>عمر رب الاسرة:</t>
        </is>
      </c>
      <c r="D3" s="159" t="n"/>
      <c r="E3" s="160" t="inlineStr">
        <is>
          <t>جنس رب الاسرة</t>
        </is>
      </c>
      <c r="F3" s="161" t="n"/>
      <c r="G3" s="161" t="n"/>
      <c r="H3" s="162" t="n"/>
    </row>
    <row r="4" ht="18" customHeight="1">
      <c r="A4" s="163" t="inlineStr">
        <is>
          <t>المخيم:</t>
        </is>
      </c>
      <c r="B4" s="164" t="inlineStr">
        <is>
          <t>Yarmouk</t>
        </is>
      </c>
      <c r="C4" s="165" t="inlineStr">
        <is>
          <t>الحالة العائلية لرب الاسرة</t>
        </is>
      </c>
      <c r="D4" s="166" t="n"/>
      <c r="E4" s="167" t="inlineStr">
        <is>
          <t>السكن الحالي</t>
        </is>
      </c>
      <c r="F4" s="168" t="n"/>
      <c r="G4" s="169" t="inlineStr">
        <is>
          <t>عدد الاسر في المنزل</t>
        </is>
      </c>
      <c r="H4" s="170" t="n"/>
    </row>
    <row r="5" ht="17.4" customHeight="1">
      <c r="A5" s="163" t="inlineStr">
        <is>
          <t>اسم رب الاسرة:</t>
        </is>
      </c>
      <c r="B5" s="164" t="n"/>
      <c r="C5" s="163" t="inlineStr">
        <is>
          <t>اذا رب الاسرة متزوج من إمراة ثانية</t>
        </is>
      </c>
      <c r="D5" s="164" t="n"/>
      <c r="E5" s="171" t="n"/>
      <c r="F5" s="172" t="inlineStr">
        <is>
          <t xml:space="preserve">يسكنون نفس البيت </t>
        </is>
      </c>
      <c r="G5" s="172" t="inlineStr">
        <is>
          <t>يسكنون في بيت منفصل</t>
        </is>
      </c>
      <c r="H5" s="173" t="inlineStr">
        <is>
          <t>يسكنون خارج المخيم</t>
        </is>
      </c>
    </row>
    <row r="6" ht="17.4" customHeight="1">
      <c r="A6" s="163" t="inlineStr">
        <is>
          <t xml:space="preserve">رقم العائلة: </t>
        </is>
      </c>
      <c r="B6" s="164" t="n"/>
      <c r="C6" s="165" t="inlineStr">
        <is>
          <t>وضع ملكية البيت</t>
        </is>
      </c>
      <c r="D6" s="164" t="n"/>
      <c r="E6" s="174" t="n"/>
      <c r="F6" s="175" t="inlineStr">
        <is>
          <t>ملكية البيت مشتركة/ خاصة</t>
        </is>
      </c>
      <c r="G6" s="175" t="inlineStr">
        <is>
          <t>بدون مقابل مادي</t>
        </is>
      </c>
      <c r="H6" s="176" t="inlineStr">
        <is>
          <t>إيجار</t>
        </is>
      </c>
    </row>
    <row r="7" ht="18" customHeight="1">
      <c r="A7" s="163" t="inlineStr">
        <is>
          <t xml:space="preserve">رقم التسجيل في الكرت الابيض لرب العائلة: </t>
        </is>
      </c>
      <c r="B7" s="164" t="n"/>
      <c r="C7" s="165" t="inlineStr">
        <is>
          <t>رقم تعريف قطعة الأرض</t>
        </is>
      </c>
      <c r="D7" s="164" t="n"/>
      <c r="E7" s="177" t="n"/>
      <c r="F7" s="178" t="n"/>
      <c r="G7" s="178" t="n"/>
      <c r="H7" s="179" t="n"/>
    </row>
    <row r="8" ht="19.95" customHeight="1">
      <c r="A8" s="163" t="inlineStr">
        <is>
          <t xml:space="preserve">رقم السجل/ رقم الشخص </t>
        </is>
      </c>
      <c r="B8" s="164" t="n"/>
      <c r="C8" s="165" t="inlineStr">
        <is>
          <t xml:space="preserve">رقم المسكن </t>
        </is>
      </c>
      <c r="D8" s="164" t="n"/>
      <c r="E8" s="180" t="inlineStr">
        <is>
          <t>اسم الشارع</t>
        </is>
      </c>
      <c r="F8" s="181" t="n"/>
      <c r="G8" s="182" t="n"/>
      <c r="H8" s="183" t="n"/>
    </row>
    <row r="9" ht="40.95" customHeight="1">
      <c r="A9" s="184" t="inlineStr">
        <is>
          <t xml:space="preserve">عدد افراد الاسرة المسجلين </t>
        </is>
      </c>
      <c r="B9" s="185" t="n"/>
      <c r="C9" s="186" t="inlineStr">
        <is>
          <t xml:space="preserve">رقم التلفون </t>
        </is>
      </c>
      <c r="D9" s="187" t="n"/>
      <c r="E9" s="188" t="inlineStr">
        <is>
          <t>عنوان المنزل</t>
        </is>
      </c>
      <c r="F9" s="189" t="n"/>
      <c r="H9" s="190" t="n"/>
    </row>
    <row r="10" ht="21.6" customHeight="1">
      <c r="A10" s="191" t="inlineStr">
        <is>
          <t>رقم الهوية الوطني:</t>
        </is>
      </c>
      <c r="B10" s="192" t="n"/>
      <c r="C10" s="193" t="n"/>
      <c r="D10" s="194" t="n"/>
      <c r="E10" s="195" t="inlineStr">
        <is>
          <t>الطابق</t>
        </is>
      </c>
      <c r="F10" s="196" t="n"/>
      <c r="G10" s="197" t="n"/>
      <c r="H10" s="198" t="n"/>
    </row>
    <row r="11" ht="16.2" customHeight="1">
      <c r="A11" s="199" t="inlineStr">
        <is>
          <t xml:space="preserve">المعايير والتعليمات </t>
        </is>
      </c>
      <c r="B11" s="200" t="inlineStr">
        <is>
          <t xml:space="preserve">فئات الأجوبة </t>
        </is>
      </c>
      <c r="C11" s="201" t="inlineStr">
        <is>
          <t xml:space="preserve">A </t>
        </is>
      </c>
      <c r="D11" s="201" t="inlineStr">
        <is>
          <t>B</t>
        </is>
      </c>
      <c r="E11" s="201" t="inlineStr">
        <is>
          <t>C</t>
        </is>
      </c>
      <c r="F11" s="201" t="inlineStr">
        <is>
          <t>D</t>
        </is>
      </c>
      <c r="G11" s="202" t="inlineStr">
        <is>
          <t xml:space="preserve">النتيجة القصوى </t>
        </is>
      </c>
      <c r="H11" s="155" t="n"/>
    </row>
    <row r="12" ht="21.6" customHeight="1">
      <c r="A12" s="203" t="inlineStr">
        <is>
          <t>2. التقييم الصحي والاجتماعي</t>
        </is>
      </c>
      <c r="B12" s="147" t="n"/>
      <c r="C12" s="147" t="n"/>
      <c r="D12" s="147" t="n"/>
      <c r="E12" s="147" t="n"/>
      <c r="F12" s="155" t="n"/>
      <c r="G12" s="204" t="n"/>
      <c r="H12" s="155" t="n"/>
    </row>
    <row r="13" ht="21" customHeight="1">
      <c r="A13" s="205" t="inlineStr">
        <is>
          <t xml:space="preserve">2.1 الوضع الصحي </t>
        </is>
      </c>
      <c r="B13" s="206" t="n"/>
      <c r="C13" s="206" t="n"/>
      <c r="D13" s="206" t="n"/>
      <c r="E13" s="206" t="n"/>
      <c r="F13" s="207" t="n"/>
      <c r="G13" s="208" t="n"/>
      <c r="H13" s="209" t="n"/>
    </row>
    <row r="14" ht="15.6" customHeight="1">
      <c r="A14" s="210" t="inlineStr">
        <is>
          <t>2.1.1 عدد الأشخاص المصابين بأمراض مزمنة
(السرطان، الربو، أمراض الجهاز التنفسي باستثناء مرضى السكري وضغط الدم)</t>
        </is>
      </c>
      <c r="B14" s="211" t="n"/>
      <c r="C14" s="212" t="inlineStr">
        <is>
          <t>≥ 3</t>
        </is>
      </c>
      <c r="D14" s="213" t="n">
        <v>2</v>
      </c>
      <c r="E14" s="213" t="n">
        <v>1</v>
      </c>
      <c r="F14" s="212" t="n">
        <v>0</v>
      </c>
      <c r="G14" s="214" t="n"/>
      <c r="H14" s="215" t="n"/>
    </row>
    <row r="15" ht="15.6" customHeight="1">
      <c r="A15" s="216" t="n"/>
      <c r="B15" s="217" t="n"/>
      <c r="C15" s="218" t="n">
        <v>3</v>
      </c>
      <c r="D15" s="218" t="n">
        <v>2</v>
      </c>
      <c r="E15" s="218" t="n">
        <v>1</v>
      </c>
      <c r="F15" s="218" t="n">
        <v>0</v>
      </c>
      <c r="G15" s="219" t="n"/>
      <c r="H15" s="220" t="n"/>
    </row>
    <row r="16" ht="15.6" customHeight="1">
      <c r="A16" s="221" t="inlineStr">
        <is>
          <t xml:space="preserve"> 2.1.2عدد الأشخاص المصابين بمرض عقلي حاد أو ما شابه ذلك 
(الحالات المعتمدة)</t>
        </is>
      </c>
      <c r="B16" s="222" t="n"/>
      <c r="C16" s="223" t="inlineStr">
        <is>
          <t xml:space="preserve">نعم </t>
        </is>
      </c>
      <c r="D16" s="224" t="inlineStr">
        <is>
          <t>لا</t>
        </is>
      </c>
      <c r="E16" s="224" t="n"/>
      <c r="F16" s="223" t="n"/>
      <c r="G16" s="225" t="n"/>
      <c r="H16" s="215" t="n"/>
    </row>
    <row r="17" ht="16.2" customHeight="1">
      <c r="A17" s="210" t="n"/>
      <c r="B17" s="211" t="n"/>
      <c r="C17" s="226" t="n">
        <v>4</v>
      </c>
      <c r="D17" s="226" t="n">
        <v>0</v>
      </c>
      <c r="E17" s="227" t="n"/>
      <c r="F17" s="227" t="n"/>
      <c r="G17" s="228" t="n"/>
      <c r="H17" s="229" t="n"/>
    </row>
    <row r="18" ht="21.6" customHeight="1">
      <c r="A18" s="230" t="inlineStr">
        <is>
          <t xml:space="preserve">2.2 الوضع الاجتماعي </t>
        </is>
      </c>
      <c r="B18" s="147" t="n"/>
      <c r="C18" s="147" t="n"/>
      <c r="D18" s="147" t="n"/>
      <c r="E18" s="147" t="n"/>
      <c r="F18" s="231" t="n"/>
      <c r="G18" s="208" t="n"/>
      <c r="H18" s="209" t="n"/>
    </row>
    <row r="19" ht="31.2" customHeight="1">
      <c r="A19" s="232" t="inlineStr">
        <is>
          <t xml:space="preserve">           2.2.1  تقييم حالة ضعف الاسرة             
     1-رب العائلة فوق عمر الستين   2 - رب العائلة طفل تحت18عاما    
       3-  رب العائلة شخص من ذوي الاحتياجات الخاصة         
   4- يوجد في العائلة شخصين أو أكثر من من ذوي الاحتياجات الخاصة 5-  رب العائلة امرأة </t>
        </is>
      </c>
      <c r="B19" s="233" t="n"/>
      <c r="C19" s="234" t="inlineStr">
        <is>
          <t>يستوفي ثلاثة  معايير للضعف أو أسرة يرأسها طفل</t>
        </is>
      </c>
      <c r="D19" s="235" t="inlineStr">
        <is>
          <t>يستوفي اثنان من معايير للضعف</t>
        </is>
      </c>
      <c r="E19" s="235" t="inlineStr">
        <is>
          <t xml:space="preserve">يستوفي أحد معايير الضعف </t>
        </is>
      </c>
      <c r="F19" s="236" t="inlineStr">
        <is>
          <t xml:space="preserve">لا يستوفي أي من معايير الضعف </t>
        </is>
      </c>
      <c r="G19" s="237" t="n"/>
      <c r="H19" s="215" t="n"/>
    </row>
    <row r="20" ht="31.95" customHeight="1">
      <c r="A20" s="238" t="n"/>
      <c r="B20" s="239" t="n"/>
      <c r="C20" s="240" t="n">
        <v>8</v>
      </c>
      <c r="D20" s="240" t="n">
        <v>5</v>
      </c>
      <c r="E20" s="240" t="n">
        <v>3</v>
      </c>
      <c r="F20" s="241" t="n">
        <v>0</v>
      </c>
      <c r="G20" s="242" t="n"/>
      <c r="H20" s="220" t="n"/>
    </row>
    <row r="21" ht="15.6" customHeight="1">
      <c r="A21" s="232" t="inlineStr">
        <is>
          <t>2.2.2 عدد افراد الاسرة الذي يعيشون في البيت وينامون بغرفة نوم واحدة
(بما في ذلك الاسرة الممتدة الذين يعيشون مع الاسرة بشكل دائم)</t>
        </is>
      </c>
      <c r="B21" s="233" t="n"/>
      <c r="C21" s="243" t="inlineStr">
        <is>
          <t>≥ 7</t>
        </is>
      </c>
      <c r="D21" s="244" t="inlineStr">
        <is>
          <t>5-6</t>
        </is>
      </c>
      <c r="E21" s="244" t="inlineStr">
        <is>
          <t>3-4</t>
        </is>
      </c>
      <c r="F21" s="245" t="inlineStr">
        <is>
          <t>≤ 2</t>
        </is>
      </c>
      <c r="G21" s="237" t="n"/>
      <c r="H21" s="215" t="n"/>
    </row>
    <row r="22" ht="16.2" customHeight="1">
      <c r="A22" s="238" t="n"/>
      <c r="B22" s="239" t="n"/>
      <c r="C22" s="246" t="n">
        <v>6</v>
      </c>
      <c r="D22" s="246" t="n">
        <v>4</v>
      </c>
      <c r="E22" s="246" t="n">
        <v>2</v>
      </c>
      <c r="F22" s="241" t="n">
        <v>0</v>
      </c>
      <c r="G22" s="242" t="n"/>
      <c r="H22" s="220" t="n"/>
    </row>
    <row r="23" ht="18.6" customHeight="1">
      <c r="A23" s="247" t="inlineStr">
        <is>
          <t xml:space="preserve">2.2.3 هل يوجد فصل بين الجنسين لعمرفوق 10 سنوات
(شخصين أو أكثر أعمارهم فوق 10 سنوات من جنسين مختلفين يقيمون في نفس غرفة النوم </t>
        </is>
      </c>
      <c r="B23" s="233" t="n"/>
      <c r="C23" s="243" t="inlineStr">
        <is>
          <t>لا</t>
        </is>
      </c>
      <c r="D23" s="244" t="inlineStr">
        <is>
          <t xml:space="preserve">نعم </t>
        </is>
      </c>
      <c r="E23" s="244" t="n"/>
      <c r="F23" s="245" t="n"/>
      <c r="G23" s="237" t="n"/>
      <c r="H23" s="215" t="n"/>
    </row>
    <row r="24" ht="19.2" customHeight="1">
      <c r="A24" s="238" t="n"/>
      <c r="B24" s="239" t="n"/>
      <c r="C24" s="246" t="n">
        <v>5</v>
      </c>
      <c r="D24" s="246" t="n">
        <v>0</v>
      </c>
      <c r="E24" s="248" t="n"/>
      <c r="F24" s="249" t="n"/>
      <c r="G24" s="242" t="n"/>
      <c r="H24" s="220" t="n"/>
    </row>
    <row r="25" ht="14.4" customHeight="1">
      <c r="A25" s="232" t="inlineStr">
        <is>
          <t>2.2.4 هل للأسرة دخل منتظم؟</t>
        </is>
      </c>
      <c r="B25" s="233" t="n"/>
      <c r="C25" s="243" t="inlineStr">
        <is>
          <t>لا</t>
        </is>
      </c>
      <c r="D25" s="244" t="inlineStr">
        <is>
          <t xml:space="preserve">نعم </t>
        </is>
      </c>
      <c r="E25" s="244" t="n"/>
      <c r="F25" s="245" t="n"/>
      <c r="G25" s="250" t="n"/>
      <c r="H25" s="215" t="n"/>
    </row>
    <row r="26" ht="18.9" customHeight="1">
      <c r="A26" s="238" t="n"/>
      <c r="B26" s="239" t="n"/>
      <c r="C26" s="246" t="n">
        <v>4</v>
      </c>
      <c r="D26" s="246" t="n">
        <v>0</v>
      </c>
      <c r="E26" s="248" t="n"/>
      <c r="F26" s="249" t="n"/>
      <c r="G26" s="238" t="n"/>
      <c r="H26" s="229" t="n"/>
    </row>
    <row r="27" ht="22.95" customHeight="1">
      <c r="A27" s="203" t="inlineStr">
        <is>
          <t>3.  التقييم المادي</t>
        </is>
      </c>
      <c r="B27" s="147" t="n"/>
      <c r="C27" s="147" t="n"/>
      <c r="D27" s="147" t="n"/>
      <c r="E27" s="147" t="n"/>
      <c r="F27" s="155" t="n"/>
      <c r="G27" s="204" t="n"/>
      <c r="H27" s="155" t="n"/>
    </row>
    <row r="28" ht="16.2" customHeight="1">
      <c r="A28" s="251" t="inlineStr">
        <is>
          <t xml:space="preserve">3.1 سلامة هيكل البيت </t>
        </is>
      </c>
      <c r="B28" s="233" t="n"/>
      <c r="C28" s="252" t="inlineStr">
        <is>
          <t>الانحراف</t>
        </is>
      </c>
      <c r="D28" s="252" t="inlineStr">
        <is>
          <t>التكسير</t>
        </is>
      </c>
      <c r="E28" s="252" t="inlineStr">
        <is>
          <t>التفلطح</t>
        </is>
      </c>
      <c r="F28" s="253" t="inlineStr">
        <is>
          <t>الاستقرار</t>
        </is>
      </c>
      <c r="G28" s="254" t="n"/>
      <c r="H28" s="183" t="n"/>
    </row>
    <row r="29" ht="21.9" customHeight="1">
      <c r="A29" s="255" t="n"/>
      <c r="B29" s="256" t="n"/>
      <c r="C29" s="257" t="inlineStr">
        <is>
          <t>0-10-15</t>
        </is>
      </c>
      <c r="D29" s="257" t="inlineStr">
        <is>
          <t>0-7-10</t>
        </is>
      </c>
      <c r="E29" s="257" t="inlineStr">
        <is>
          <t>0-3-5</t>
        </is>
      </c>
      <c r="F29" s="257" t="inlineStr">
        <is>
          <t>0-7-10</t>
        </is>
      </c>
      <c r="G29" s="258" t="n"/>
      <c r="H29" s="190" t="n"/>
    </row>
    <row r="30" ht="16.2" customHeight="1">
      <c r="A30" s="238" t="n"/>
      <c r="B30" s="239" t="n"/>
      <c r="C30" s="259" t="n"/>
      <c r="D30" s="259" t="n"/>
      <c r="E30" s="259" t="n"/>
      <c r="F30" s="259" t="n"/>
      <c r="G30" s="228" t="n"/>
      <c r="H30" s="229" t="n"/>
    </row>
    <row r="31" ht="21" customHeight="1">
      <c r="A31" s="260" t="inlineStr">
        <is>
          <t>3.2الظروف الأخرى للبيت ( بشكل جزئي)</t>
        </is>
      </c>
      <c r="B31" s="206" t="n"/>
      <c r="C31" s="206" t="n"/>
      <c r="D31" s="206" t="n"/>
      <c r="E31" s="206" t="n"/>
      <c r="F31" s="207" t="n"/>
      <c r="G31" s="208" t="n"/>
      <c r="H31" s="209" t="n"/>
      <c r="I31" s="261" t="n"/>
    </row>
    <row r="32" ht="35.4" customHeight="1">
      <c r="A32" s="262" t="inlineStr">
        <is>
          <t>3.2.1ما هي حالة المرحاض في البيت ؟ بما في ذلك مرحاض مخصص للأشخاص من ذوي الاحتياجات الخاصة؟ 
(الحد الأدنى لمساحة المرحاض 2 م2)</t>
        </is>
      </c>
      <c r="B32" s="263" t="n"/>
      <c r="C32" s="264" t="inlineStr">
        <is>
          <t>حالة جيد وقياس جيد
(المساحة ≥ 2امتر مكعب)</t>
        </is>
      </c>
      <c r="D32" s="264" t="inlineStr">
        <is>
          <t>حالة جيد وقياس سيء
(المساحة ≥ 2امتر مكعب)</t>
        </is>
      </c>
      <c r="E32" s="265" t="inlineStr">
        <is>
          <t>حالة سيئة وقياس جيد
(المساحة ≥ 2امتر مكعب)</t>
        </is>
      </c>
      <c r="F32" s="265" t="inlineStr">
        <is>
          <t>حالة سيئة وقياس سيء
(المساحة ˂ 2امتر مكعب)</t>
        </is>
      </c>
      <c r="G32" s="214" t="n"/>
      <c r="H32" s="215" t="n"/>
    </row>
    <row r="33" ht="15.6" customHeight="1">
      <c r="A33" s="242" t="n"/>
      <c r="B33" s="266" t="n"/>
      <c r="C33" s="267" t="n">
        <v>0</v>
      </c>
      <c r="D33" s="267" t="n">
        <v>3</v>
      </c>
      <c r="E33" s="267" t="n">
        <v>4</v>
      </c>
      <c r="F33" s="267" t="n">
        <v>5</v>
      </c>
      <c r="G33" s="219" t="n"/>
      <c r="H33" s="220" t="n"/>
    </row>
    <row r="34" ht="14.4" customHeight="1">
      <c r="A34" s="268" t="inlineStr">
        <is>
          <t xml:space="preserve">3.2.2 ما هو حالة المطبخ 
(الحد الأدنى من المساحة الكافية للمطبخ 9متر مكعب) </t>
        </is>
      </c>
      <c r="B34" s="263" t="n"/>
      <c r="C34" s="264" t="inlineStr">
        <is>
          <t>حالة جيد وقياس جيد
(المساحة ≥ 9متر مكعب )</t>
        </is>
      </c>
      <c r="D34" s="264" t="inlineStr">
        <is>
          <t>حالة جيد وقياس سيء
(المساحة ˂ 9امتر مكعب)</t>
        </is>
      </c>
      <c r="E34" s="264" t="inlineStr">
        <is>
          <t>حالة سيئة وقياس جيد
(المساحة ≥9امتر مكعب)</t>
        </is>
      </c>
      <c r="F34" s="264" t="inlineStr">
        <is>
          <t>حالة سيئة وقياس سيء
(المساحة ˂ 9امتر مكعب)</t>
        </is>
      </c>
      <c r="G34" s="214" t="n"/>
      <c r="H34" s="215" t="n"/>
    </row>
    <row r="35" ht="15.6" customHeight="1">
      <c r="A35" s="242" t="n"/>
      <c r="B35" s="266" t="n"/>
      <c r="C35" s="267" t="n">
        <v>0</v>
      </c>
      <c r="D35" s="267" t="n">
        <v>2</v>
      </c>
      <c r="E35" s="267" t="n">
        <v>3</v>
      </c>
      <c r="F35" s="267" t="n">
        <v>4</v>
      </c>
      <c r="G35" s="219" t="n"/>
      <c r="H35" s="220" t="n"/>
    </row>
    <row r="36" ht="14.4" customHeight="1">
      <c r="A36" s="268" t="inlineStr">
        <is>
          <t>3.2.3 ما مدى جودة تهوية المأوى والاضاءة 
(النسبة المئوية من الغرف التي لها نوافذ كافية وتوفر الضوء والتهوية مقابل إجمالي عدد الغرف)</t>
        </is>
      </c>
      <c r="B36" s="263" t="n"/>
      <c r="C36" s="265" t="inlineStr">
        <is>
          <t>˂  50%</t>
        </is>
      </c>
      <c r="D36" s="265" t="inlineStr">
        <is>
          <t>50-75%</t>
        </is>
      </c>
      <c r="E36" s="265" t="inlineStr">
        <is>
          <t>˃ 75%</t>
        </is>
      </c>
      <c r="F36" s="269" t="n">
        <v>1</v>
      </c>
      <c r="G36" s="214" t="n"/>
      <c r="H36" s="215" t="n"/>
    </row>
    <row r="37" ht="18" customHeight="1">
      <c r="A37" s="242" t="n"/>
      <c r="B37" s="266" t="n"/>
      <c r="C37" s="267" t="n">
        <v>8</v>
      </c>
      <c r="D37" s="267" t="n">
        <v>5</v>
      </c>
      <c r="E37" s="267" t="n">
        <v>3</v>
      </c>
      <c r="F37" s="267" t="n">
        <v>0</v>
      </c>
      <c r="G37" s="219" t="n"/>
      <c r="H37" s="220" t="n"/>
    </row>
    <row r="38" ht="15.6" customHeight="1">
      <c r="A38" s="268" t="inlineStr">
        <is>
          <t>3.2.4 ما هي مؤشرات الرطوبة في البيت?
(النسبة المئوية من الغرف التي بها رطوبة مقابل إجمالي عدد الغرف)</t>
        </is>
      </c>
      <c r="B38" s="263" t="n"/>
      <c r="C38" s="265" t="inlineStr">
        <is>
          <t xml:space="preserve"> (No dampness = 0)</t>
        </is>
      </c>
      <c r="D38" s="265" t="inlineStr">
        <is>
          <t>(25% = 3)</t>
        </is>
      </c>
      <c r="E38" s="265" t="inlineStr">
        <is>
          <t xml:space="preserve"> (50-75% = 5)</t>
        </is>
      </c>
      <c r="F38" s="269" t="inlineStr">
        <is>
          <t>(100% = 8)</t>
        </is>
      </c>
      <c r="G38" s="214" t="n"/>
      <c r="H38" s="215" t="n"/>
    </row>
    <row r="39" ht="15.6" customHeight="1">
      <c r="A39" s="242" t="n"/>
      <c r="B39" s="266" t="n"/>
      <c r="C39" s="267" t="n">
        <v>0</v>
      </c>
      <c r="D39" s="267" t="n">
        <v>3</v>
      </c>
      <c r="E39" s="267" t="n">
        <v>5</v>
      </c>
      <c r="F39" s="267" t="n">
        <v>8</v>
      </c>
      <c r="G39" s="219" t="n"/>
      <c r="H39" s="220" t="n"/>
    </row>
    <row r="40" ht="31.2" customHeight="1">
      <c r="A40" s="270" t="inlineStr">
        <is>
          <t>3.2.5 ما هي طريقة وصل البيت بشبكة الصرف الصحي</t>
        </is>
      </c>
      <c r="B40" s="271" t="n"/>
      <c r="C40" s="265" t="inlineStr">
        <is>
          <t>لا يوجد اتصال</t>
        </is>
      </c>
      <c r="D40" s="265" t="inlineStr">
        <is>
          <t xml:space="preserve">اتصال بحفرة التخلص من الصرف الصحي </t>
        </is>
      </c>
      <c r="E40" s="272" t="inlineStr">
        <is>
          <t>يوجد اتصال بشبكة الصرف الصحي بشكل غير ملائم</t>
        </is>
      </c>
      <c r="F40" s="265" t="inlineStr">
        <is>
          <t>اتصال ملائم بشبكة الصرف الصحي</t>
        </is>
      </c>
      <c r="G40" s="225" t="n"/>
      <c r="H40" s="215" t="n"/>
    </row>
    <row r="41" ht="16.2" customHeight="1">
      <c r="A41" s="238" t="n"/>
      <c r="B41" s="239" t="n"/>
      <c r="C41" s="273" t="n">
        <v>5</v>
      </c>
      <c r="D41" s="273" t="n">
        <v>5</v>
      </c>
      <c r="E41" s="273" t="n">
        <v>2</v>
      </c>
      <c r="F41" s="273" t="n">
        <v>0</v>
      </c>
      <c r="G41" s="228" t="n"/>
      <c r="H41" s="229" t="n"/>
    </row>
    <row r="42" ht="25.95" customHeight="1">
      <c r="A42" s="274" t="inlineStr">
        <is>
          <t xml:space="preserve">النتيجة الاجمالية النهائية </t>
        </is>
      </c>
      <c r="B42" s="147" t="n"/>
      <c r="C42" s="147" t="n"/>
      <c r="D42" s="147" t="n"/>
      <c r="E42" s="147" t="n"/>
      <c r="F42" s="155" t="n"/>
      <c r="G42" s="204" t="n"/>
      <c r="H42" s="155" t="n"/>
    </row>
    <row r="43">
      <c r="A43" s="23" t="n"/>
      <c r="B43" s="23" t="n"/>
      <c r="C43" s="23" t="n"/>
      <c r="D43" s="23" t="n"/>
      <c r="E43" s="23" t="n"/>
      <c r="F43" s="23" t="n"/>
      <c r="G43" s="23" t="n"/>
      <c r="H43" s="23" t="n"/>
    </row>
    <row r="44">
      <c r="A44" s="23" t="n"/>
      <c r="B44" s="23" t="n"/>
      <c r="C44" s="23" t="n"/>
      <c r="D44" s="23" t="n"/>
      <c r="E44" s="23" t="n"/>
      <c r="F44" s="23" t="n"/>
      <c r="G44" s="23" t="n"/>
      <c r="H44" s="23" t="n"/>
    </row>
    <row r="45"/>
    <row r="46"/>
    <row r="47">
      <c r="G47" s="275" t="n"/>
      <c r="H47" s="276" t="n"/>
    </row>
    <row r="48">
      <c r="G48" s="275" t="n"/>
      <c r="H48" s="276" t="n"/>
    </row>
    <row r="49">
      <c r="G49" s="275" t="n"/>
      <c r="H49" s="276" t="n"/>
    </row>
    <row r="50" ht="15.6" customHeight="1">
      <c r="A50" s="277" t="n"/>
      <c r="B50" s="276" t="n"/>
      <c r="C50" s="278" t="n"/>
      <c r="D50" s="279" t="n"/>
      <c r="E50" s="279" t="n"/>
      <c r="F50" s="278" t="n"/>
      <c r="G50" s="275" t="n"/>
      <c r="H50" s="276" t="n"/>
    </row>
    <row r="51" ht="15" customHeight="1">
      <c r="A51" s="276" t="n"/>
      <c r="B51" s="276" t="n"/>
      <c r="C51" s="280" t="n"/>
      <c r="D51" s="280" t="n"/>
      <c r="E51" s="281" t="n"/>
      <c r="F51" s="281" t="n"/>
      <c r="G51" s="276" t="n"/>
      <c r="H51" s="276" t="n"/>
    </row>
    <row r="52" ht="15.6" customHeight="1">
      <c r="A52" s="277" t="n"/>
      <c r="B52" s="276" t="n"/>
      <c r="C52" s="278" t="n"/>
      <c r="D52" s="279" t="n"/>
      <c r="E52" s="279" t="n"/>
      <c r="F52" s="278" t="n"/>
      <c r="G52" s="275" t="n"/>
      <c r="H52" s="276" t="n"/>
    </row>
    <row r="53" ht="15" customHeight="1">
      <c r="A53" s="276" t="n"/>
      <c r="B53" s="276" t="n"/>
      <c r="C53" s="280" t="n"/>
      <c r="D53" s="280" t="n"/>
      <c r="E53" s="281" t="n"/>
      <c r="F53" s="281" t="n"/>
      <c r="G53" s="276" t="n"/>
      <c r="H53" s="276" t="n"/>
    </row>
    <row r="54" ht="15.6" customHeight="1">
      <c r="A54" s="277" t="n"/>
      <c r="B54" s="276" t="n"/>
      <c r="C54" s="278" t="n"/>
      <c r="D54" s="279" t="n"/>
      <c r="E54" s="279" t="n"/>
      <c r="F54" s="278" t="n"/>
      <c r="G54" s="275" t="n"/>
      <c r="H54" s="276" t="n"/>
    </row>
    <row r="55" ht="15" customHeight="1">
      <c r="A55" s="276" t="n"/>
      <c r="B55" s="276" t="n"/>
      <c r="C55" s="280" t="n"/>
      <c r="D55" s="280" t="n"/>
      <c r="E55" s="281" t="n"/>
      <c r="F55" s="281" t="n"/>
      <c r="G55" s="276" t="n"/>
      <c r="H55" s="276" t="n"/>
    </row>
    <row r="56"/>
    <row r="57"/>
    <row r="58" ht="15" customHeight="1">
      <c r="A58" s="277" t="n"/>
      <c r="B58" s="276" t="n"/>
    </row>
    <row r="59" ht="15" customHeight="1">
      <c r="A59" s="276" t="n"/>
      <c r="B59" s="276" t="n"/>
    </row>
  </sheetData>
  <mergeCells count="51">
    <mergeCell ref="G12:H12"/>
    <mergeCell ref="A28:B30"/>
    <mergeCell ref="F10:G10"/>
    <mergeCell ref="G42:H42"/>
    <mergeCell ref="G11:H11"/>
    <mergeCell ref="A27:F27"/>
    <mergeCell ref="G27:H27"/>
    <mergeCell ref="F8:H8"/>
    <mergeCell ref="A32:B33"/>
    <mergeCell ref="A18:F18"/>
    <mergeCell ref="A12:F12"/>
    <mergeCell ref="A21:B22"/>
    <mergeCell ref="F2:H2"/>
    <mergeCell ref="G14:H15"/>
    <mergeCell ref="G48:H48"/>
    <mergeCell ref="C9:C10"/>
    <mergeCell ref="A42:F42"/>
    <mergeCell ref="A23:B24"/>
    <mergeCell ref="G54:H55"/>
    <mergeCell ref="G16:H17"/>
    <mergeCell ref="G50:H51"/>
    <mergeCell ref="G32:H33"/>
    <mergeCell ref="G25:H26"/>
    <mergeCell ref="A19:B20"/>
    <mergeCell ref="F9:H9"/>
    <mergeCell ref="A38:B39"/>
    <mergeCell ref="G13:H13"/>
    <mergeCell ref="G18:H18"/>
    <mergeCell ref="B1:C1"/>
    <mergeCell ref="G49:H49"/>
    <mergeCell ref="A52:B53"/>
    <mergeCell ref="A34:B35"/>
    <mergeCell ref="G21:H22"/>
    <mergeCell ref="A13:F13"/>
    <mergeCell ref="A40:B41"/>
    <mergeCell ref="G40:H41"/>
    <mergeCell ref="G28:H30"/>
    <mergeCell ref="A58:B59"/>
    <mergeCell ref="A31:F31"/>
    <mergeCell ref="G36:H37"/>
    <mergeCell ref="G23:H24"/>
    <mergeCell ref="G52:H53"/>
    <mergeCell ref="A36:B37"/>
    <mergeCell ref="A54:B55"/>
    <mergeCell ref="G47:H47"/>
    <mergeCell ref="G38:H39"/>
    <mergeCell ref="G34:H35"/>
    <mergeCell ref="A50:B51"/>
    <mergeCell ref="G19:H20"/>
    <mergeCell ref="G31:H31"/>
    <mergeCell ref="A25:B2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K45"/>
  <sheetViews>
    <sheetView rightToLeft="1" tabSelected="1" view="pageBreakPreview" zoomScale="55" zoomScaleNormal="70" zoomScaleSheetLayoutView="55" workbookViewId="0">
      <pane xSplit="1" ySplit="6" topLeftCell="B20" activePane="bottomRight" state="frozen"/>
      <selection pane="topRight" activeCell="B1" sqref="B1"/>
      <selection pane="bottomLeft" activeCell="A5" sqref="A5"/>
      <selection pane="bottomRight" activeCell="I26" sqref="I26"/>
    </sheetView>
  </sheetViews>
  <sheetFormatPr baseColWidth="8" defaultRowHeight="15.6"/>
  <cols>
    <col width="2" customWidth="1" style="1" min="1" max="1"/>
    <col width="5.8984375" customWidth="1" style="1" min="2" max="2"/>
    <col width="14.8984375" customWidth="1" style="1" min="3" max="3"/>
    <col width="14" customWidth="1" style="1" min="4" max="4"/>
    <col width="9.09765625" customWidth="1" style="1" min="5" max="5"/>
    <col width="13.296875" customWidth="1" style="1" min="6" max="6"/>
    <col width="14.09765625" customWidth="1" style="1" min="7" max="8"/>
    <col width="60.296875" customWidth="1" style="5" min="9" max="9"/>
    <col width="42.59765625" bestFit="1" customWidth="1" style="1" min="10" max="10"/>
    <col width="9.09765625" customWidth="1" style="1" min="11" max="255"/>
    <col width="22.69921875" customWidth="1" style="1" min="256" max="256"/>
    <col width="11.296875" customWidth="1" style="1" min="257" max="257"/>
    <col width="13.296875" customWidth="1" style="1" min="258" max="260"/>
    <col width="18.8984375" customWidth="1" style="1" min="261" max="261"/>
    <col width="24.59765625" customWidth="1" style="1" min="262" max="262"/>
    <col width="9.09765625" customWidth="1" style="1" min="263" max="511"/>
    <col width="22.69921875" customWidth="1" style="1" min="512" max="512"/>
    <col width="11.296875" customWidth="1" style="1" min="513" max="513"/>
    <col width="13.296875" customWidth="1" style="1" min="514" max="516"/>
    <col width="18.8984375" customWidth="1" style="1" min="517" max="517"/>
    <col width="24.59765625" customWidth="1" style="1" min="518" max="518"/>
    <col width="9.09765625" customWidth="1" style="1" min="519" max="767"/>
    <col width="22.69921875" customWidth="1" style="1" min="768" max="768"/>
    <col width="11.296875" customWidth="1" style="1" min="769" max="769"/>
    <col width="13.296875" customWidth="1" style="1" min="770" max="772"/>
    <col width="18.8984375" customWidth="1" style="1" min="773" max="773"/>
    <col width="24.59765625" customWidth="1" style="1" min="774" max="774"/>
    <col width="9.09765625" customWidth="1" style="1" min="775" max="1023"/>
    <col width="22.69921875" customWidth="1" style="1" min="1024" max="1024"/>
    <col width="11.296875" customWidth="1" style="1" min="1025" max="1025"/>
    <col width="13.296875" customWidth="1" style="1" min="1026" max="1028"/>
    <col width="18.8984375" customWidth="1" style="1" min="1029" max="1029"/>
    <col width="24.59765625" customWidth="1" style="1" min="1030" max="1030"/>
    <col width="9.09765625" customWidth="1" style="1" min="1031" max="1279"/>
    <col width="22.69921875" customWidth="1" style="1" min="1280" max="1280"/>
    <col width="11.296875" customWidth="1" style="1" min="1281" max="1281"/>
    <col width="13.296875" customWidth="1" style="1" min="1282" max="1284"/>
    <col width="18.8984375" customWidth="1" style="1" min="1285" max="1285"/>
    <col width="24.59765625" customWidth="1" style="1" min="1286" max="1286"/>
    <col width="9.09765625" customWidth="1" style="1" min="1287" max="1535"/>
    <col width="22.69921875" customWidth="1" style="1" min="1536" max="1536"/>
    <col width="11.296875" customWidth="1" style="1" min="1537" max="1537"/>
    <col width="13.296875" customWidth="1" style="1" min="1538" max="1540"/>
    <col width="18.8984375" customWidth="1" style="1" min="1541" max="1541"/>
    <col width="24.59765625" customWidth="1" style="1" min="1542" max="1542"/>
    <col width="9.09765625" customWidth="1" style="1" min="1543" max="1791"/>
    <col width="22.69921875" customWidth="1" style="1" min="1792" max="1792"/>
    <col width="11.296875" customWidth="1" style="1" min="1793" max="1793"/>
    <col width="13.296875" customWidth="1" style="1" min="1794" max="1796"/>
    <col width="18.8984375" customWidth="1" style="1" min="1797" max="1797"/>
    <col width="24.59765625" customWidth="1" style="1" min="1798" max="1798"/>
    <col width="9.09765625" customWidth="1" style="1" min="1799" max="2047"/>
    <col width="22.69921875" customWidth="1" style="1" min="2048" max="2048"/>
    <col width="11.296875" customWidth="1" style="1" min="2049" max="2049"/>
    <col width="13.296875" customWidth="1" style="1" min="2050" max="2052"/>
    <col width="18.8984375" customWidth="1" style="1" min="2053" max="2053"/>
    <col width="24.59765625" customWidth="1" style="1" min="2054" max="2054"/>
    <col width="9.09765625" customWidth="1" style="1" min="2055" max="2303"/>
    <col width="22.69921875" customWidth="1" style="1" min="2304" max="2304"/>
    <col width="11.296875" customWidth="1" style="1" min="2305" max="2305"/>
    <col width="13.296875" customWidth="1" style="1" min="2306" max="2308"/>
    <col width="18.8984375" customWidth="1" style="1" min="2309" max="2309"/>
    <col width="24.59765625" customWidth="1" style="1" min="2310" max="2310"/>
    <col width="9.09765625" customWidth="1" style="1" min="2311" max="2559"/>
    <col width="22.69921875" customWidth="1" style="1" min="2560" max="2560"/>
    <col width="11.296875" customWidth="1" style="1" min="2561" max="2561"/>
    <col width="13.296875" customWidth="1" style="1" min="2562" max="2564"/>
    <col width="18.8984375" customWidth="1" style="1" min="2565" max="2565"/>
    <col width="24.59765625" customWidth="1" style="1" min="2566" max="2566"/>
    <col width="9.09765625" customWidth="1" style="1" min="2567" max="2815"/>
    <col width="22.69921875" customWidth="1" style="1" min="2816" max="2816"/>
    <col width="11.296875" customWidth="1" style="1" min="2817" max="2817"/>
    <col width="13.296875" customWidth="1" style="1" min="2818" max="2820"/>
    <col width="18.8984375" customWidth="1" style="1" min="2821" max="2821"/>
    <col width="24.59765625" customWidth="1" style="1" min="2822" max="2822"/>
    <col width="9.09765625" customWidth="1" style="1" min="2823" max="3071"/>
    <col width="22.69921875" customWidth="1" style="1" min="3072" max="3072"/>
    <col width="11.296875" customWidth="1" style="1" min="3073" max="3073"/>
    <col width="13.296875" customWidth="1" style="1" min="3074" max="3076"/>
    <col width="18.8984375" customWidth="1" style="1" min="3077" max="3077"/>
    <col width="24.59765625" customWidth="1" style="1" min="3078" max="3078"/>
    <col width="9.09765625" customWidth="1" style="1" min="3079" max="3327"/>
    <col width="22.69921875" customWidth="1" style="1" min="3328" max="3328"/>
    <col width="11.296875" customWidth="1" style="1" min="3329" max="3329"/>
    <col width="13.296875" customWidth="1" style="1" min="3330" max="3332"/>
    <col width="18.8984375" customWidth="1" style="1" min="3333" max="3333"/>
    <col width="24.59765625" customWidth="1" style="1" min="3334" max="3334"/>
    <col width="9.09765625" customWidth="1" style="1" min="3335" max="3583"/>
    <col width="22.69921875" customWidth="1" style="1" min="3584" max="3584"/>
    <col width="11.296875" customWidth="1" style="1" min="3585" max="3585"/>
    <col width="13.296875" customWidth="1" style="1" min="3586" max="3588"/>
    <col width="18.8984375" customWidth="1" style="1" min="3589" max="3589"/>
    <col width="24.59765625" customWidth="1" style="1" min="3590" max="3590"/>
    <col width="9.09765625" customWidth="1" style="1" min="3591" max="3839"/>
    <col width="22.69921875" customWidth="1" style="1" min="3840" max="3840"/>
    <col width="11.296875" customWidth="1" style="1" min="3841" max="3841"/>
    <col width="13.296875" customWidth="1" style="1" min="3842" max="3844"/>
    <col width="18.8984375" customWidth="1" style="1" min="3845" max="3845"/>
    <col width="24.59765625" customWidth="1" style="1" min="3846" max="3846"/>
    <col width="9.09765625" customWidth="1" style="1" min="3847" max="4095"/>
    <col width="22.69921875" customWidth="1" style="1" min="4096" max="4096"/>
    <col width="11.296875" customWidth="1" style="1" min="4097" max="4097"/>
    <col width="13.296875" customWidth="1" style="1" min="4098" max="4100"/>
    <col width="18.8984375" customWidth="1" style="1" min="4101" max="4101"/>
    <col width="24.59765625" customWidth="1" style="1" min="4102" max="4102"/>
    <col width="9.09765625" customWidth="1" style="1" min="4103" max="4351"/>
    <col width="22.69921875" customWidth="1" style="1" min="4352" max="4352"/>
    <col width="11.296875" customWidth="1" style="1" min="4353" max="4353"/>
    <col width="13.296875" customWidth="1" style="1" min="4354" max="4356"/>
    <col width="18.8984375" customWidth="1" style="1" min="4357" max="4357"/>
    <col width="24.59765625" customWidth="1" style="1" min="4358" max="4358"/>
    <col width="9.09765625" customWidth="1" style="1" min="4359" max="4607"/>
    <col width="22.69921875" customWidth="1" style="1" min="4608" max="4608"/>
    <col width="11.296875" customWidth="1" style="1" min="4609" max="4609"/>
    <col width="13.296875" customWidth="1" style="1" min="4610" max="4612"/>
    <col width="18.8984375" customWidth="1" style="1" min="4613" max="4613"/>
    <col width="24.59765625" customWidth="1" style="1" min="4614" max="4614"/>
    <col width="9.09765625" customWidth="1" style="1" min="4615" max="4863"/>
    <col width="22.69921875" customWidth="1" style="1" min="4864" max="4864"/>
    <col width="11.296875" customWidth="1" style="1" min="4865" max="4865"/>
    <col width="13.296875" customWidth="1" style="1" min="4866" max="4868"/>
    <col width="18.8984375" customWidth="1" style="1" min="4869" max="4869"/>
    <col width="24.59765625" customWidth="1" style="1" min="4870" max="4870"/>
    <col width="9.09765625" customWidth="1" style="1" min="4871" max="5119"/>
    <col width="22.69921875" customWidth="1" style="1" min="5120" max="5120"/>
    <col width="11.296875" customWidth="1" style="1" min="5121" max="5121"/>
    <col width="13.296875" customWidth="1" style="1" min="5122" max="5124"/>
    <col width="18.8984375" customWidth="1" style="1" min="5125" max="5125"/>
    <col width="24.59765625" customWidth="1" style="1" min="5126" max="5126"/>
    <col width="9.09765625" customWidth="1" style="1" min="5127" max="5375"/>
    <col width="22.69921875" customWidth="1" style="1" min="5376" max="5376"/>
    <col width="11.296875" customWidth="1" style="1" min="5377" max="5377"/>
    <col width="13.296875" customWidth="1" style="1" min="5378" max="5380"/>
    <col width="18.8984375" customWidth="1" style="1" min="5381" max="5381"/>
    <col width="24.59765625" customWidth="1" style="1" min="5382" max="5382"/>
    <col width="9.09765625" customWidth="1" style="1" min="5383" max="5631"/>
    <col width="22.69921875" customWidth="1" style="1" min="5632" max="5632"/>
    <col width="11.296875" customWidth="1" style="1" min="5633" max="5633"/>
    <col width="13.296875" customWidth="1" style="1" min="5634" max="5636"/>
    <col width="18.8984375" customWidth="1" style="1" min="5637" max="5637"/>
    <col width="24.59765625" customWidth="1" style="1" min="5638" max="5638"/>
    <col width="9.09765625" customWidth="1" style="1" min="5639" max="5887"/>
    <col width="22.69921875" customWidth="1" style="1" min="5888" max="5888"/>
    <col width="11.296875" customWidth="1" style="1" min="5889" max="5889"/>
    <col width="13.296875" customWidth="1" style="1" min="5890" max="5892"/>
    <col width="18.8984375" customWidth="1" style="1" min="5893" max="5893"/>
    <col width="24.59765625" customWidth="1" style="1" min="5894" max="5894"/>
    <col width="9.09765625" customWidth="1" style="1" min="5895" max="6143"/>
    <col width="22.69921875" customWidth="1" style="1" min="6144" max="6144"/>
    <col width="11.296875" customWidth="1" style="1" min="6145" max="6145"/>
    <col width="13.296875" customWidth="1" style="1" min="6146" max="6148"/>
    <col width="18.8984375" customWidth="1" style="1" min="6149" max="6149"/>
    <col width="24.59765625" customWidth="1" style="1" min="6150" max="6150"/>
    <col width="9.09765625" customWidth="1" style="1" min="6151" max="6399"/>
    <col width="22.69921875" customWidth="1" style="1" min="6400" max="6400"/>
    <col width="11.296875" customWidth="1" style="1" min="6401" max="6401"/>
    <col width="13.296875" customWidth="1" style="1" min="6402" max="6404"/>
    <col width="18.8984375" customWidth="1" style="1" min="6405" max="6405"/>
    <col width="24.59765625" customWidth="1" style="1" min="6406" max="6406"/>
    <col width="9.09765625" customWidth="1" style="1" min="6407" max="6655"/>
    <col width="22.69921875" customWidth="1" style="1" min="6656" max="6656"/>
    <col width="11.296875" customWidth="1" style="1" min="6657" max="6657"/>
    <col width="13.296875" customWidth="1" style="1" min="6658" max="6660"/>
    <col width="18.8984375" customWidth="1" style="1" min="6661" max="6661"/>
    <col width="24.59765625" customWidth="1" style="1" min="6662" max="6662"/>
    <col width="9.09765625" customWidth="1" style="1" min="6663" max="6911"/>
    <col width="22.69921875" customWidth="1" style="1" min="6912" max="6912"/>
    <col width="11.296875" customWidth="1" style="1" min="6913" max="6913"/>
    <col width="13.296875" customWidth="1" style="1" min="6914" max="6916"/>
    <col width="18.8984375" customWidth="1" style="1" min="6917" max="6917"/>
    <col width="24.59765625" customWidth="1" style="1" min="6918" max="6918"/>
    <col width="9.09765625" customWidth="1" style="1" min="6919" max="7167"/>
    <col width="22.69921875" customWidth="1" style="1" min="7168" max="7168"/>
    <col width="11.296875" customWidth="1" style="1" min="7169" max="7169"/>
    <col width="13.296875" customWidth="1" style="1" min="7170" max="7172"/>
    <col width="18.8984375" customWidth="1" style="1" min="7173" max="7173"/>
    <col width="24.59765625" customWidth="1" style="1" min="7174" max="7174"/>
    <col width="9.09765625" customWidth="1" style="1" min="7175" max="7423"/>
    <col width="22.69921875" customWidth="1" style="1" min="7424" max="7424"/>
    <col width="11.296875" customWidth="1" style="1" min="7425" max="7425"/>
    <col width="13.296875" customWidth="1" style="1" min="7426" max="7428"/>
    <col width="18.8984375" customWidth="1" style="1" min="7429" max="7429"/>
    <col width="24.59765625" customWidth="1" style="1" min="7430" max="7430"/>
    <col width="9.09765625" customWidth="1" style="1" min="7431" max="7679"/>
    <col width="22.69921875" customWidth="1" style="1" min="7680" max="7680"/>
    <col width="11.296875" customWidth="1" style="1" min="7681" max="7681"/>
    <col width="13.296875" customWidth="1" style="1" min="7682" max="7684"/>
    <col width="18.8984375" customWidth="1" style="1" min="7685" max="7685"/>
    <col width="24.59765625" customWidth="1" style="1" min="7686" max="7686"/>
    <col width="9.09765625" customWidth="1" style="1" min="7687" max="7935"/>
    <col width="22.69921875" customWidth="1" style="1" min="7936" max="7936"/>
    <col width="11.296875" customWidth="1" style="1" min="7937" max="7937"/>
    <col width="13.296875" customWidth="1" style="1" min="7938" max="7940"/>
    <col width="18.8984375" customWidth="1" style="1" min="7941" max="7941"/>
    <col width="24.59765625" customWidth="1" style="1" min="7942" max="7942"/>
    <col width="9.09765625" customWidth="1" style="1" min="7943" max="8191"/>
    <col width="22.69921875" customWidth="1" style="1" min="8192" max="8192"/>
    <col width="11.296875" customWidth="1" style="1" min="8193" max="8193"/>
    <col width="13.296875" customWidth="1" style="1" min="8194" max="8196"/>
    <col width="18.8984375" customWidth="1" style="1" min="8197" max="8197"/>
    <col width="24.59765625" customWidth="1" style="1" min="8198" max="8198"/>
    <col width="9.09765625" customWidth="1" style="1" min="8199" max="8447"/>
    <col width="22.69921875" customWidth="1" style="1" min="8448" max="8448"/>
    <col width="11.296875" customWidth="1" style="1" min="8449" max="8449"/>
    <col width="13.296875" customWidth="1" style="1" min="8450" max="8452"/>
    <col width="18.8984375" customWidth="1" style="1" min="8453" max="8453"/>
    <col width="24.59765625" customWidth="1" style="1" min="8454" max="8454"/>
    <col width="9.09765625" customWidth="1" style="1" min="8455" max="8703"/>
    <col width="22.69921875" customWidth="1" style="1" min="8704" max="8704"/>
    <col width="11.296875" customWidth="1" style="1" min="8705" max="8705"/>
    <col width="13.296875" customWidth="1" style="1" min="8706" max="8708"/>
    <col width="18.8984375" customWidth="1" style="1" min="8709" max="8709"/>
    <col width="24.59765625" customWidth="1" style="1" min="8710" max="8710"/>
    <col width="9.09765625" customWidth="1" style="1" min="8711" max="8959"/>
    <col width="22.69921875" customWidth="1" style="1" min="8960" max="8960"/>
    <col width="11.296875" customWidth="1" style="1" min="8961" max="8961"/>
    <col width="13.296875" customWidth="1" style="1" min="8962" max="8964"/>
    <col width="18.8984375" customWidth="1" style="1" min="8965" max="8965"/>
    <col width="24.59765625" customWidth="1" style="1" min="8966" max="8966"/>
    <col width="9.09765625" customWidth="1" style="1" min="8967" max="9215"/>
    <col width="22.69921875" customWidth="1" style="1" min="9216" max="9216"/>
    <col width="11.296875" customWidth="1" style="1" min="9217" max="9217"/>
    <col width="13.296875" customWidth="1" style="1" min="9218" max="9220"/>
    <col width="18.8984375" customWidth="1" style="1" min="9221" max="9221"/>
    <col width="24.59765625" customWidth="1" style="1" min="9222" max="9222"/>
    <col width="9.09765625" customWidth="1" style="1" min="9223" max="9471"/>
    <col width="22.69921875" customWidth="1" style="1" min="9472" max="9472"/>
    <col width="11.296875" customWidth="1" style="1" min="9473" max="9473"/>
    <col width="13.296875" customWidth="1" style="1" min="9474" max="9476"/>
    <col width="18.8984375" customWidth="1" style="1" min="9477" max="9477"/>
    <col width="24.59765625" customWidth="1" style="1" min="9478" max="9478"/>
    <col width="9.09765625" customWidth="1" style="1" min="9479" max="9727"/>
    <col width="22.69921875" customWidth="1" style="1" min="9728" max="9728"/>
    <col width="11.296875" customWidth="1" style="1" min="9729" max="9729"/>
    <col width="13.296875" customWidth="1" style="1" min="9730" max="9732"/>
    <col width="18.8984375" customWidth="1" style="1" min="9733" max="9733"/>
    <col width="24.59765625" customWidth="1" style="1" min="9734" max="9734"/>
    <col width="9.09765625" customWidth="1" style="1" min="9735" max="9983"/>
    <col width="22.69921875" customWidth="1" style="1" min="9984" max="9984"/>
    <col width="11.296875" customWidth="1" style="1" min="9985" max="9985"/>
    <col width="13.296875" customWidth="1" style="1" min="9986" max="9988"/>
    <col width="18.8984375" customWidth="1" style="1" min="9989" max="9989"/>
    <col width="24.59765625" customWidth="1" style="1" min="9990" max="9990"/>
    <col width="9.09765625" customWidth="1" style="1" min="9991" max="10239"/>
    <col width="22.69921875" customWidth="1" style="1" min="10240" max="10240"/>
    <col width="11.296875" customWidth="1" style="1" min="10241" max="10241"/>
    <col width="13.296875" customWidth="1" style="1" min="10242" max="10244"/>
    <col width="18.8984375" customWidth="1" style="1" min="10245" max="10245"/>
    <col width="24.59765625" customWidth="1" style="1" min="10246" max="10246"/>
    <col width="9.09765625" customWidth="1" style="1" min="10247" max="10495"/>
    <col width="22.69921875" customWidth="1" style="1" min="10496" max="10496"/>
    <col width="11.296875" customWidth="1" style="1" min="10497" max="10497"/>
    <col width="13.296875" customWidth="1" style="1" min="10498" max="10500"/>
    <col width="18.8984375" customWidth="1" style="1" min="10501" max="10501"/>
    <col width="24.59765625" customWidth="1" style="1" min="10502" max="10502"/>
    <col width="9.09765625" customWidth="1" style="1" min="10503" max="10751"/>
    <col width="22.69921875" customWidth="1" style="1" min="10752" max="10752"/>
    <col width="11.296875" customWidth="1" style="1" min="10753" max="10753"/>
    <col width="13.296875" customWidth="1" style="1" min="10754" max="10756"/>
    <col width="18.8984375" customWidth="1" style="1" min="10757" max="10757"/>
    <col width="24.59765625" customWidth="1" style="1" min="10758" max="10758"/>
    <col width="9.09765625" customWidth="1" style="1" min="10759" max="11007"/>
    <col width="22.69921875" customWidth="1" style="1" min="11008" max="11008"/>
    <col width="11.296875" customWidth="1" style="1" min="11009" max="11009"/>
    <col width="13.296875" customWidth="1" style="1" min="11010" max="11012"/>
    <col width="18.8984375" customWidth="1" style="1" min="11013" max="11013"/>
    <col width="24.59765625" customWidth="1" style="1" min="11014" max="11014"/>
    <col width="9.09765625" customWidth="1" style="1" min="11015" max="11263"/>
    <col width="22.69921875" customWidth="1" style="1" min="11264" max="11264"/>
    <col width="11.296875" customWidth="1" style="1" min="11265" max="11265"/>
    <col width="13.296875" customWidth="1" style="1" min="11266" max="11268"/>
    <col width="18.8984375" customWidth="1" style="1" min="11269" max="11269"/>
    <col width="24.59765625" customWidth="1" style="1" min="11270" max="11270"/>
    <col width="9.09765625" customWidth="1" style="1" min="11271" max="11519"/>
    <col width="22.69921875" customWidth="1" style="1" min="11520" max="11520"/>
    <col width="11.296875" customWidth="1" style="1" min="11521" max="11521"/>
    <col width="13.296875" customWidth="1" style="1" min="11522" max="11524"/>
    <col width="18.8984375" customWidth="1" style="1" min="11525" max="11525"/>
    <col width="24.59765625" customWidth="1" style="1" min="11526" max="11526"/>
    <col width="9.09765625" customWidth="1" style="1" min="11527" max="11775"/>
    <col width="22.69921875" customWidth="1" style="1" min="11776" max="11776"/>
    <col width="11.296875" customWidth="1" style="1" min="11777" max="11777"/>
    <col width="13.296875" customWidth="1" style="1" min="11778" max="11780"/>
    <col width="18.8984375" customWidth="1" style="1" min="11781" max="11781"/>
    <col width="24.59765625" customWidth="1" style="1" min="11782" max="11782"/>
    <col width="9.09765625" customWidth="1" style="1" min="11783" max="12031"/>
    <col width="22.69921875" customWidth="1" style="1" min="12032" max="12032"/>
    <col width="11.296875" customWidth="1" style="1" min="12033" max="12033"/>
    <col width="13.296875" customWidth="1" style="1" min="12034" max="12036"/>
    <col width="18.8984375" customWidth="1" style="1" min="12037" max="12037"/>
    <col width="24.59765625" customWidth="1" style="1" min="12038" max="12038"/>
    <col width="9.09765625" customWidth="1" style="1" min="12039" max="12287"/>
    <col width="22.69921875" customWidth="1" style="1" min="12288" max="12288"/>
    <col width="11.296875" customWidth="1" style="1" min="12289" max="12289"/>
    <col width="13.296875" customWidth="1" style="1" min="12290" max="12292"/>
    <col width="18.8984375" customWidth="1" style="1" min="12293" max="12293"/>
    <col width="24.59765625" customWidth="1" style="1" min="12294" max="12294"/>
    <col width="9.09765625" customWidth="1" style="1" min="12295" max="12543"/>
    <col width="22.69921875" customWidth="1" style="1" min="12544" max="12544"/>
    <col width="11.296875" customWidth="1" style="1" min="12545" max="12545"/>
    <col width="13.296875" customWidth="1" style="1" min="12546" max="12548"/>
    <col width="18.8984375" customWidth="1" style="1" min="12549" max="12549"/>
    <col width="24.59765625" customWidth="1" style="1" min="12550" max="12550"/>
    <col width="9.09765625" customWidth="1" style="1" min="12551" max="12799"/>
    <col width="22.69921875" customWidth="1" style="1" min="12800" max="12800"/>
    <col width="11.296875" customWidth="1" style="1" min="12801" max="12801"/>
    <col width="13.296875" customWidth="1" style="1" min="12802" max="12804"/>
    <col width="18.8984375" customWidth="1" style="1" min="12805" max="12805"/>
    <col width="24.59765625" customWidth="1" style="1" min="12806" max="12806"/>
    <col width="9.09765625" customWidth="1" style="1" min="12807" max="13055"/>
    <col width="22.69921875" customWidth="1" style="1" min="13056" max="13056"/>
    <col width="11.296875" customWidth="1" style="1" min="13057" max="13057"/>
    <col width="13.296875" customWidth="1" style="1" min="13058" max="13060"/>
    <col width="18.8984375" customWidth="1" style="1" min="13061" max="13061"/>
    <col width="24.59765625" customWidth="1" style="1" min="13062" max="13062"/>
    <col width="9.09765625" customWidth="1" style="1" min="13063" max="13311"/>
    <col width="22.69921875" customWidth="1" style="1" min="13312" max="13312"/>
    <col width="11.296875" customWidth="1" style="1" min="13313" max="13313"/>
    <col width="13.296875" customWidth="1" style="1" min="13314" max="13316"/>
    <col width="18.8984375" customWidth="1" style="1" min="13317" max="13317"/>
    <col width="24.59765625" customWidth="1" style="1" min="13318" max="13318"/>
    <col width="9.09765625" customWidth="1" style="1" min="13319" max="13567"/>
    <col width="22.69921875" customWidth="1" style="1" min="13568" max="13568"/>
    <col width="11.296875" customWidth="1" style="1" min="13569" max="13569"/>
    <col width="13.296875" customWidth="1" style="1" min="13570" max="13572"/>
    <col width="18.8984375" customWidth="1" style="1" min="13573" max="13573"/>
    <col width="24.59765625" customWidth="1" style="1" min="13574" max="13574"/>
    <col width="9.09765625" customWidth="1" style="1" min="13575" max="13823"/>
    <col width="22.69921875" customWidth="1" style="1" min="13824" max="13824"/>
    <col width="11.296875" customWidth="1" style="1" min="13825" max="13825"/>
    <col width="13.296875" customWidth="1" style="1" min="13826" max="13828"/>
    <col width="18.8984375" customWidth="1" style="1" min="13829" max="13829"/>
    <col width="24.59765625" customWidth="1" style="1" min="13830" max="13830"/>
    <col width="9.09765625" customWidth="1" style="1" min="13831" max="14079"/>
    <col width="22.69921875" customWidth="1" style="1" min="14080" max="14080"/>
    <col width="11.296875" customWidth="1" style="1" min="14081" max="14081"/>
    <col width="13.296875" customWidth="1" style="1" min="14082" max="14084"/>
    <col width="18.8984375" customWidth="1" style="1" min="14085" max="14085"/>
    <col width="24.59765625" customWidth="1" style="1" min="14086" max="14086"/>
    <col width="9.09765625" customWidth="1" style="1" min="14087" max="14335"/>
    <col width="22.69921875" customWidth="1" style="1" min="14336" max="14336"/>
    <col width="11.296875" customWidth="1" style="1" min="14337" max="14337"/>
    <col width="13.296875" customWidth="1" style="1" min="14338" max="14340"/>
    <col width="18.8984375" customWidth="1" style="1" min="14341" max="14341"/>
    <col width="24.59765625" customWidth="1" style="1" min="14342" max="14342"/>
    <col width="9.09765625" customWidth="1" style="1" min="14343" max="14591"/>
    <col width="22.69921875" customWidth="1" style="1" min="14592" max="14592"/>
    <col width="11.296875" customWidth="1" style="1" min="14593" max="14593"/>
    <col width="13.296875" customWidth="1" style="1" min="14594" max="14596"/>
    <col width="18.8984375" customWidth="1" style="1" min="14597" max="14597"/>
    <col width="24.59765625" customWidth="1" style="1" min="14598" max="14598"/>
    <col width="9.09765625" customWidth="1" style="1" min="14599" max="14847"/>
    <col width="22.69921875" customWidth="1" style="1" min="14848" max="14848"/>
    <col width="11.296875" customWidth="1" style="1" min="14849" max="14849"/>
    <col width="13.296875" customWidth="1" style="1" min="14850" max="14852"/>
    <col width="18.8984375" customWidth="1" style="1" min="14853" max="14853"/>
    <col width="24.59765625" customWidth="1" style="1" min="14854" max="14854"/>
    <col width="9.09765625" customWidth="1" style="1" min="14855" max="15103"/>
    <col width="22.69921875" customWidth="1" style="1" min="15104" max="15104"/>
    <col width="11.296875" customWidth="1" style="1" min="15105" max="15105"/>
    <col width="13.296875" customWidth="1" style="1" min="15106" max="15108"/>
    <col width="18.8984375" customWidth="1" style="1" min="15109" max="15109"/>
    <col width="24.59765625" customWidth="1" style="1" min="15110" max="15110"/>
    <col width="9.09765625" customWidth="1" style="1" min="15111" max="15359"/>
    <col width="22.69921875" customWidth="1" style="1" min="15360" max="15360"/>
    <col width="11.296875" customWidth="1" style="1" min="15361" max="15361"/>
    <col width="13.296875" customWidth="1" style="1" min="15362" max="15364"/>
    <col width="18.8984375" customWidth="1" style="1" min="15365" max="15365"/>
    <col width="24.59765625" customWidth="1" style="1" min="15366" max="15366"/>
    <col width="9.09765625" customWidth="1" style="1" min="15367" max="15615"/>
    <col width="22.69921875" customWidth="1" style="1" min="15616" max="15616"/>
    <col width="11.296875" customWidth="1" style="1" min="15617" max="15617"/>
    <col width="13.296875" customWidth="1" style="1" min="15618" max="15620"/>
    <col width="18.8984375" customWidth="1" style="1" min="15621" max="15621"/>
    <col width="24.59765625" customWidth="1" style="1" min="15622" max="15622"/>
    <col width="9.09765625" customWidth="1" style="1" min="15623" max="15871"/>
    <col width="22.69921875" customWidth="1" style="1" min="15872" max="15872"/>
    <col width="11.296875" customWidth="1" style="1" min="15873" max="15873"/>
    <col width="13.296875" customWidth="1" style="1" min="15874" max="15876"/>
    <col width="18.8984375" customWidth="1" style="1" min="15877" max="15877"/>
    <col width="24.59765625" customWidth="1" style="1" min="15878" max="15878"/>
    <col width="9.09765625" customWidth="1" style="1" min="15879" max="16127"/>
    <col width="22.69921875" customWidth="1" style="1" min="16128" max="16128"/>
    <col width="11.296875" customWidth="1" style="1" min="16129" max="16129"/>
    <col width="13.296875" customWidth="1" style="1" min="16130" max="16132"/>
    <col width="18.8984375" customWidth="1" style="1" min="16133" max="16133"/>
    <col width="24.59765625" customWidth="1" style="1" min="16134" max="16134"/>
    <col width="9.09765625" customWidth="1" style="1" min="16135" max="16384"/>
  </cols>
  <sheetData>
    <row r="1" ht="9" customHeight="1" thickBot="1"/>
    <row r="2" ht="29.25" customHeight="1" thickBot="1" thickTop="1">
      <c r="B2" s="282" t="inlineStr">
        <is>
          <t>ملحق رقم  "1 "</t>
        </is>
      </c>
      <c r="C2" s="283" t="n"/>
      <c r="D2" s="283" t="n"/>
      <c r="E2" s="283" t="n"/>
      <c r="F2" s="283" t="n"/>
      <c r="G2" s="283" t="n"/>
      <c r="H2" s="283" t="n"/>
      <c r="I2" s="283" t="n"/>
      <c r="J2" s="284" t="n"/>
    </row>
    <row r="3" ht="33" customHeight="1" thickBot="1" thickTop="1">
      <c r="B3" s="285" t="inlineStr">
        <is>
          <t xml:space="preserve">        Bill of Quantités  فاتورة الكميات</t>
        </is>
      </c>
      <c r="C3" s="283" t="n"/>
      <c r="D3" s="283" t="n"/>
      <c r="E3" s="283" t="n"/>
      <c r="F3" s="284" t="n"/>
      <c r="G3" s="134" t="inlineStr">
        <is>
          <t>اسم المستفيد</t>
        </is>
      </c>
      <c r="H3" s="283" t="n"/>
      <c r="I3" s="286" t="n"/>
      <c r="J3" s="284" t="n"/>
    </row>
    <row r="4" ht="36" customHeight="1" thickBot="1" thickTop="1">
      <c r="B4" s="287" t="inlineStr">
        <is>
          <t xml:space="preserve">The below table must be filled by a qualified engineer </t>
        </is>
      </c>
      <c r="C4" s="288" t="n"/>
      <c r="D4" s="288" t="n"/>
      <c r="E4" s="288" t="n"/>
      <c r="F4" s="288" t="n"/>
      <c r="G4" s="288" t="n"/>
      <c r="H4" s="288" t="n"/>
      <c r="I4" s="288" t="n"/>
      <c r="J4" s="289" t="n"/>
    </row>
    <row r="5" ht="35.1" customHeight="1" thickBot="1" thickTop="1">
      <c r="B5" s="107" t="inlineStr">
        <is>
          <t>م</t>
        </is>
      </c>
      <c r="C5" s="109" t="inlineStr">
        <is>
          <t xml:space="preserve">Type of damage  </t>
        </is>
      </c>
      <c r="D5" s="290" t="n"/>
      <c r="E5" s="94" t="inlineStr">
        <is>
          <t xml:space="preserve">Unit  </t>
        </is>
      </c>
      <c r="F5" s="95" t="inlineStr">
        <is>
          <t xml:space="preserve">Quantity </t>
        </is>
      </c>
      <c r="G5" s="96" t="inlineStr">
        <is>
          <t>the price</t>
        </is>
      </c>
      <c r="H5" s="97" t="inlineStr">
        <is>
          <t xml:space="preserve">Estimated cost/$ </t>
        </is>
      </c>
      <c r="I5" s="98" t="inlineStr">
        <is>
          <t>Description</t>
        </is>
      </c>
      <c r="J5" s="98" t="inlineStr">
        <is>
          <t>Reason for intervention</t>
        </is>
      </c>
    </row>
    <row r="6" ht="35.1" customHeight="1" thickBot="1">
      <c r="B6" s="291" t="n"/>
      <c r="C6" s="110" t="inlineStr">
        <is>
          <t xml:space="preserve"> نوع الضرر</t>
        </is>
      </c>
      <c r="D6" s="292" t="n"/>
      <c r="E6" s="90" t="inlineStr">
        <is>
          <t xml:space="preserve"> واحدة </t>
        </is>
      </c>
      <c r="F6" s="90" t="inlineStr">
        <is>
          <t xml:space="preserve"> الكمية</t>
        </is>
      </c>
      <c r="G6" s="92" t="inlineStr">
        <is>
          <t xml:space="preserve">السعر </t>
        </is>
      </c>
      <c r="H6" s="93" t="inlineStr">
        <is>
          <t xml:space="preserve"> التكلفة التقديرية/ $</t>
        </is>
      </c>
      <c r="I6" s="91" t="inlineStr">
        <is>
          <t>الوصف</t>
        </is>
      </c>
      <c r="J6" s="91" t="inlineStr">
        <is>
          <t>سبب التدخل</t>
        </is>
      </c>
    </row>
    <row r="7" ht="54" customHeight="1" thickBot="1" thickTop="1">
      <c r="B7" s="12" t="n">
        <v>1</v>
      </c>
      <c r="C7" s="122" t="inlineStr">
        <is>
          <t>أعمال   هيكلية</t>
        </is>
      </c>
      <c r="D7" s="66" t="inlineStr">
        <is>
          <t>بيتون مسلح</t>
        </is>
      </c>
      <c r="E7" s="66" t="inlineStr">
        <is>
          <t>M3</t>
        </is>
      </c>
      <c r="F7" s="47" t="n"/>
      <c r="G7" s="67" t="n">
        <v>350</v>
      </c>
      <c r="H7" s="67">
        <f>F7*G7</f>
        <v/>
      </c>
      <c r="I7" s="11" t="inlineStr">
        <is>
          <t>تقديم وتنفيذ بيتون مسلح ، عيار خلطة البيتون 350 كغ/م3، مسلح بنسبة 80 كغ/م3،
في بعض الحالات يجب استخدام الايبوكسي لتثبيت قضبان التسليح عند الحاجة 
مع كل اعمال التحضير اللازمة، بما يتضمن الكوفراج ،السقايل، المواد، الاّليات والعمال
* يجب سقاية البيتون بالماء لمدة7 ايام</t>
        </is>
      </c>
      <c r="J7" s="11" t="inlineStr">
        <is>
          <t>تدعيم العناصر الانشائية للحفاظ على سلامة السكان</t>
        </is>
      </c>
    </row>
    <row r="8" ht="53.4" customHeight="1" thickBot="1">
      <c r="A8" s="3" t="n"/>
      <c r="B8" s="2" t="n">
        <v>2</v>
      </c>
      <c r="C8" s="293" t="n"/>
      <c r="D8" s="61" t="inlineStr">
        <is>
          <t>تدعيم معدني</t>
        </is>
      </c>
      <c r="E8" s="61" t="inlineStr">
        <is>
          <t>kg</t>
        </is>
      </c>
      <c r="F8" s="45" t="n"/>
      <c r="G8" s="62" t="n">
        <v>4</v>
      </c>
      <c r="H8" s="62">
        <f>F8*G8</f>
        <v/>
      </c>
      <c r="I8" s="7" t="inlineStr">
        <is>
          <t>تقديم وتنفيذ مقاطع معدنية مقترحة من قبل المهندس المشرف حسب الضرر الإنشائي لكل حالة ,  مع مراعاة تنظيف مقاطع الحديد من الصدأ والشوائب , ودهان إيبوكسي , مع تنفيذ اللحام بسماكة 6 مم لتحقيق مواصفة اللحام المطلوبة ,واستخدام براغي 16 مم وصفائح معدنية حسب اللزوم وتوجيهات المهندس المشرف . مع الشبك المعدني اللازم لاتمام أعمال الطينة</t>
        </is>
      </c>
      <c r="J8" s="7" t="inlineStr">
        <is>
          <t>تدعيم العناصر الانشائية  للحفاظ على سلامة السكان</t>
        </is>
      </c>
    </row>
    <row r="9" ht="79.8" customHeight="1" thickBot="1">
      <c r="A9" s="3" t="n"/>
      <c r="B9" s="8" t="n">
        <v>3</v>
      </c>
      <c r="C9" s="293" t="n"/>
      <c r="D9" s="59" t="inlineStr">
        <is>
          <t>بلوك</t>
        </is>
      </c>
      <c r="E9" s="59" t="inlineStr">
        <is>
          <t xml:space="preserve">M² </t>
        </is>
      </c>
      <c r="F9" s="45" t="n"/>
      <c r="G9" s="60" t="n">
        <v>15</v>
      </c>
      <c r="H9" s="60">
        <f>F9*G9</f>
        <v/>
      </c>
      <c r="I9" s="9" t="inlineStr">
        <is>
          <t>تقديم و تركيب جدار من البلوك, سماكات مختلفة, صنع محلي,باستخدام مونة اسمنتية ( عيار 300 كغ/م³).
*مع  كافة الأعمال التحضيرية من إزالة الجدران المتصدعة , مع إزالة نواتج الهدم وكافة العناصر غير المستقرة  وترحيلها إلى مكب رسمي.ويجب توريد البلوك  بعد 14 يوم من صبه, ويجب أن تكون القطع سليمة و ترفض القطع المكسورة والعمل يتم مع كل مايلزم من مواد و يد عاملة.,يجب سقاية البلوك بالماء لمدة 3 ايام</t>
        </is>
      </c>
      <c r="J9" s="9" t="inlineStr">
        <is>
          <t>للضرورات المعمارية و إغلاق فتحات الجدران بسبب الحرب و للحفاظ على خصوصية المنزل</t>
        </is>
      </c>
    </row>
    <row r="10" ht="106.2" customHeight="1" thickBot="1">
      <c r="A10" s="3" t="n"/>
      <c r="B10" s="2" t="n">
        <v>4</v>
      </c>
      <c r="C10" s="293" t="n"/>
      <c r="D10" s="61" t="inlineStr">
        <is>
          <t xml:space="preserve">  طينة اسمنتية  </t>
        </is>
      </c>
      <c r="E10" s="61" t="inlineStr">
        <is>
          <t xml:space="preserve">M² </t>
        </is>
      </c>
      <c r="F10" s="45" t="n"/>
      <c r="G10" s="62" t="n">
        <v>12</v>
      </c>
      <c r="H10" s="62">
        <f>F10*G10</f>
        <v/>
      </c>
      <c r="I10" s="7" t="inlineStr">
        <is>
          <t>تقديم وتنفيذ طينة اسمنتية للجدران والاسقف، التسوية باستعمال قدة المنيوم وخشب، تتالف من ثلاث طبقات:
-بطانة اولية خشنة (رشة مسمارية كثيفة) لتغطية جميع الاسطح .
-بطانة طبقة ثانية خشنة لملئ جميع التشققات والفتحات باستعمال المالج وقدة الالمنيوم للتسوية، .
-ظهارة طبقة ثالثة وجه نهائي (ناعم) اسمنت أبيض أو أسود باستخدام المفرك لتنعيم الاسطح، .
مع كل الاعمال التحضيرية اللازمة للأسطح التي سوف يتم تطيينها عن طريق إزالة أي جزء متضرر أو متهدم من المناطق غير الملائمة في أي مكان وعلى أي عمق لتصبح جاهزة لإستقبال طبقات الطينة الجديدة والتخلص من هذه الأنقاض إلى المطامر الرسمية وفق ملاحظات وتوجيهات المهندس المشرف</t>
        </is>
      </c>
      <c r="J10" s="7" t="inlineStr">
        <is>
          <t>لمعالجة التشققات و الجدران المتصدعة و ملابن الأبواب و ضمان السلامة الصحية للسكان كون البلوك مرتع للحشرات و البكتريا</t>
        </is>
      </c>
    </row>
    <row r="11" ht="27" customHeight="1" thickBot="1">
      <c r="A11" s="3" t="n"/>
      <c r="B11" s="8" t="n">
        <v>5</v>
      </c>
      <c r="C11" s="293" t="n"/>
      <c r="D11" s="59" t="inlineStr">
        <is>
          <t>طينة غراوت</t>
        </is>
      </c>
      <c r="E11" s="59" t="inlineStr">
        <is>
          <t xml:space="preserve">M² </t>
        </is>
      </c>
      <c r="F11" s="45" t="n"/>
      <c r="G11" s="60" t="n">
        <v>20</v>
      </c>
      <c r="H11" s="60">
        <f>F11*G11</f>
        <v/>
      </c>
      <c r="I11" s="9" t="inlineStr">
        <is>
          <t xml:space="preserve"> طينة غراوت المناسبة لمعالجة التشققات في الجدران و الأعمدة  والجسور و الأسقف تستخدم  بعد تنطيف السطح بشكل كامل .</t>
        </is>
      </c>
      <c r="J11" s="9" t="inlineStr">
        <is>
          <t>لعلاج تسلخات الحديد في العناصر الإنشائية و ضمان عدم سقوط الطينة المتصدعة على رؤوس السكان</t>
        </is>
      </c>
    </row>
    <row r="12" ht="35.1" customHeight="1" thickBot="1">
      <c r="A12" s="3" t="n"/>
      <c r="B12" s="13" t="n">
        <v>6</v>
      </c>
      <c r="C12" s="294" t="n"/>
      <c r="D12" s="63" t="inlineStr">
        <is>
          <t>مداخن</t>
        </is>
      </c>
      <c r="E12" s="64" t="inlineStr">
        <is>
          <t xml:space="preserve">MR </t>
        </is>
      </c>
      <c r="F12" s="46" t="n"/>
      <c r="G12" s="65" t="n">
        <v>10</v>
      </c>
      <c r="H12" s="65">
        <f>F12*G12</f>
        <v/>
      </c>
      <c r="I12" s="4" t="inlineStr">
        <is>
          <t>تقديم أنبوب مداخن الأسمنت بقطر 4 انش مع إضافة حلقة معدنية جديدة وصندوق فحص وشبكة سلكية وطينة و صيانة المدخنة على السطح مع تركيب أنبوب شكل T إذا لزم الأمر .</t>
        </is>
      </c>
      <c r="J12" s="53" t="inlineStr">
        <is>
          <t>كون مدافئ المازوت هي الوسيلة المتاحة للتدفئة بسبب عدم توفر الكهربا</t>
        </is>
      </c>
    </row>
    <row r="13" ht="90.75" customHeight="1" thickBot="1" thickTop="1">
      <c r="A13" s="3" t="n"/>
      <c r="B13" s="12" t="n">
        <v>7</v>
      </c>
      <c r="C13" s="295" t="inlineStr">
        <is>
          <t xml:space="preserve"> الأرضية والجدران</t>
        </is>
      </c>
      <c r="D13" s="66" t="inlineStr">
        <is>
          <t>بلاط</t>
        </is>
      </c>
      <c r="E13" s="66" t="inlineStr">
        <is>
          <t xml:space="preserve">M² </t>
        </is>
      </c>
      <c r="F13" s="47" t="n"/>
      <c r="G13" s="67" t="n">
        <v>20</v>
      </c>
      <c r="H13" s="67">
        <f>F13*G13</f>
        <v/>
      </c>
      <c r="I13" s="11" t="inlineStr">
        <is>
          <t xml:space="preserve"> توريد وتركيب بلاط مصقول أبيض مزج، محلي الصنع، أبعادمناسبة , بما في ذلك جميع المواد اللازمة والملحقات لاستكمال العمل. و في حال كان البلاط غير مجلي يتم جليه و تلميعه بعد التركيب. , ويشمل
1- ازالة البلاط القديم.
2 - التخلص من الحطام إلى مكان تفريغ معتمد حسب تعليمات المهندس المشرف.
3- فرش طبقة من البحص في الأماكن التي تتطلب ذلك
*مع كافة الاعمال و المواد و الحفر و ترحيل الركام و الاكسسوارات اللازمة.</t>
        </is>
      </c>
      <c r="J13" s="21" t="inlineStr">
        <is>
          <t>استبدال البلاط المحروق بسبب هشاشته و نفوذيته العالية للماء.</t>
        </is>
      </c>
    </row>
    <row r="14" ht="35.1" customHeight="1" thickBot="1">
      <c r="A14" s="3" t="n"/>
      <c r="B14" s="2" t="n">
        <v>8</v>
      </c>
      <c r="C14" s="293" t="n"/>
      <c r="D14" s="61" t="inlineStr">
        <is>
          <t>نعلة بلاط</t>
        </is>
      </c>
      <c r="E14" s="61" t="inlineStr">
        <is>
          <t xml:space="preserve">MR </t>
        </is>
      </c>
      <c r="F14" s="45" t="n"/>
      <c r="G14" s="62" t="n">
        <v>8</v>
      </c>
      <c r="H14" s="62">
        <f>F14*G14</f>
        <v/>
      </c>
      <c r="I14" s="7" t="inlineStr">
        <is>
          <t>نعلة بلاط أو سيراميك بارتفاع 10سم مع روبة جيدة</t>
        </is>
      </c>
      <c r="J14" s="7" t="inlineStr">
        <is>
          <t>لمنع تسرب الماء من مكان التقاء البلاط مع الجدران</t>
        </is>
      </c>
    </row>
    <row r="15" ht="35.1" customHeight="1" thickBot="1">
      <c r="A15" s="3" t="n"/>
      <c r="B15" s="8" t="n">
        <v>9</v>
      </c>
      <c r="C15" s="293" t="n"/>
      <c r="D15" s="59" t="inlineStr">
        <is>
          <t>جلي بلاط</t>
        </is>
      </c>
      <c r="E15" s="59" t="inlineStr">
        <is>
          <t xml:space="preserve">M² </t>
        </is>
      </c>
      <c r="F15" s="45" t="n"/>
      <c r="G15" s="60" t="n">
        <v>6</v>
      </c>
      <c r="H15" s="60">
        <f>F15*G15</f>
        <v/>
      </c>
      <c r="I15" s="9" t="inlineStr">
        <is>
          <t>جلي بلاط بشكل جيد .</t>
        </is>
      </c>
      <c r="J15" s="9" t="inlineStr">
        <is>
          <t>امن أجل إزالة الطبقة التي تعد مرتع للحشرات و البكتريا</t>
        </is>
      </c>
    </row>
    <row r="16" ht="79.8" customHeight="1" thickBot="1">
      <c r="A16" s="3" t="n"/>
      <c r="B16" s="13" t="n">
        <v>10</v>
      </c>
      <c r="C16" s="294" t="n"/>
      <c r="D16" s="63" t="inlineStr">
        <is>
          <t>سيراميك</t>
        </is>
      </c>
      <c r="E16" s="63" t="inlineStr">
        <is>
          <t xml:space="preserve">M² </t>
        </is>
      </c>
      <c r="F16" s="48" t="n"/>
      <c r="G16" s="65" t="n">
        <v>25</v>
      </c>
      <c r="H16" s="65">
        <f>F16*G16</f>
        <v/>
      </c>
      <c r="I16" s="14" t="inlineStr">
        <is>
          <t>توريد وتركيب سيراميك جدران و أرضيات جديد  ، متضمناً جميع المواد اللازمة لإكمال العمل بما في ذلك المونة الاسمنتية (عيار 300 كغ/م³) للبلاط الجديد.
- إزالة السيراميك التالف من الأماكن المحددة  وترحيل الحطام إلى مكب نظامي.
-التباعد بين القطع 2مم باستخدام فواصل بلاستيكية
*مع كافة الاعمال و المواد و الحفر و ترحيل الركام و الاكسسوارات اللازمة, وزوايا المنيوم لجميع الزوايا والحواف</t>
        </is>
      </c>
      <c r="J16" s="54" t="inlineStr">
        <is>
          <t>ضمان السلامة الصحية للسكان و معالجة  رطوبة الجدران التي تؤثر على الجهاز التنفسي</t>
        </is>
      </c>
    </row>
    <row r="17" ht="40.8" customHeight="1" thickBot="1" thickTop="1">
      <c r="A17" s="3" t="n"/>
      <c r="B17" s="15" t="n">
        <v>11</v>
      </c>
      <c r="C17" s="88" t="inlineStr">
        <is>
          <t>الزجاج</t>
        </is>
      </c>
      <c r="D17" s="68" t="inlineStr">
        <is>
          <t xml:space="preserve"> الزجاج </t>
        </is>
      </c>
      <c r="E17" s="68" t="inlineStr">
        <is>
          <t xml:space="preserve">M² </t>
        </is>
      </c>
      <c r="F17" s="49" t="n"/>
      <c r="G17" s="69" t="n">
        <v>17</v>
      </c>
      <c r="H17" s="69">
        <f>F17*G17</f>
        <v/>
      </c>
      <c r="I17" s="16" t="inlineStr">
        <is>
          <t>تقديم وتركيب زجاج مناسب، سماكة 6مم، صناعة محلية، ويجب ان تتناسب قطع الزجاج مع اماكن التركيب في النوافذ والابواب والواجهات، المصنوعة من الخشب، الحديد، الالمنيوم بحسب قياس مكان التركيب مع كل مايلزم من مواد واكسسوارات وسيليكون ملئ الفراغات.</t>
        </is>
      </c>
      <c r="J17" s="16" t="inlineStr">
        <is>
          <t>استبدال الزجاج المكسور و هو مصدر أذى للسكان</t>
        </is>
      </c>
    </row>
    <row r="18" ht="65.25" customHeight="1" thickBot="1" thickTop="1">
      <c r="A18" s="3" t="n"/>
      <c r="B18" s="17" t="n">
        <v>12</v>
      </c>
      <c r="C18" s="295" t="inlineStr">
        <is>
          <t>أعمال النجارة</t>
        </is>
      </c>
      <c r="D18" s="70" t="inlineStr">
        <is>
          <t xml:space="preserve"> أبواب خشبية </t>
        </is>
      </c>
      <c r="E18" s="70" t="inlineStr">
        <is>
          <t xml:space="preserve">No </t>
        </is>
      </c>
      <c r="F18" s="50" t="n"/>
      <c r="G18" s="71" t="n">
        <v>160</v>
      </c>
      <c r="H18" s="71">
        <f>F18*G18</f>
        <v/>
      </c>
      <c r="I18" s="18" t="inlineStr">
        <is>
          <t>تقديم وتركيب باب خشبي رئيسي وداخلي حسب ما يلي:
1- الملابن والإطار والعوارض و تركيب ثلاث شرمات من كل جهة للملبن.
2- تركيب اطار زان لكامل الباب بسماكة لا تقل عن 2 سم .
مع كافة المواد والاكسسوارات اللازمة لإنهاء العمل من (طوبة -مفصلات -مسكة -قفل اماني داخلي-غال) و حف وطلاء الخشب بالزيت والدهان .</t>
        </is>
      </c>
      <c r="J18" s="55" t="inlineStr">
        <is>
          <t>استبدال الأبواب ذات الحالة السيئة و الحفاظ على الخصوصية داخل المنزل و تأمين الحماية</t>
        </is>
      </c>
    </row>
    <row r="19" ht="35.1" customHeight="1" thickBot="1">
      <c r="A19" s="3" t="n"/>
      <c r="B19" s="8" t="n">
        <v>13</v>
      </c>
      <c r="C19" s="293" t="n"/>
      <c r="D19" s="59" t="inlineStr">
        <is>
          <t>ملابن</t>
        </is>
      </c>
      <c r="E19" s="59" t="inlineStr">
        <is>
          <t xml:space="preserve">No </t>
        </is>
      </c>
      <c r="F19" s="45" t="n"/>
      <c r="G19" s="60" t="n">
        <v>30</v>
      </c>
      <c r="H19" s="60">
        <f>F19*G19</f>
        <v/>
      </c>
      <c r="I19" s="9" t="inlineStr">
        <is>
          <t>الملابن خالي من العقد النافذة , و تركيب ثلاث شرمات من كل جهة للملبن.</t>
        </is>
      </c>
      <c r="J19" s="9" t="inlineStr">
        <is>
          <t>ضرورية لتركيب الأبواب</t>
        </is>
      </c>
    </row>
    <row r="20" ht="27" customHeight="1" thickBot="1">
      <c r="A20" s="3" t="n"/>
      <c r="B20" s="2" t="n">
        <v>14</v>
      </c>
      <c r="C20" s="293" t="n"/>
      <c r="D20" s="61" t="inlineStr">
        <is>
          <t xml:space="preserve"> صيانة أبواب </t>
        </is>
      </c>
      <c r="E20" s="61" t="inlineStr">
        <is>
          <t xml:space="preserve">No </t>
        </is>
      </c>
      <c r="F20" s="45" t="n"/>
      <c r="G20" s="62" t="n">
        <v>25</v>
      </c>
      <c r="H20" s="62">
        <f>F20*G20</f>
        <v/>
      </c>
      <c r="I20" s="7" t="inlineStr">
        <is>
          <t>استبدال القطع الخشبية التالفة (ضمن الدرفة الخشبية أو الملبن ) ,واستبدال المفصلات والمسكات والغال التالفين حسب توجيهات المهندس المشرف</t>
        </is>
      </c>
      <c r="J20" s="7" t="inlineStr">
        <is>
          <t>إعادة وظيفة الباب كاملة</t>
        </is>
      </c>
    </row>
    <row r="21" ht="35.1" customHeight="1" thickBot="1">
      <c r="A21" s="3" t="n"/>
      <c r="B21" s="19" t="n">
        <v>15</v>
      </c>
      <c r="C21" s="294" t="n"/>
      <c r="D21" s="72" t="inlineStr">
        <is>
          <t xml:space="preserve"> صيانة نوافذ </t>
        </is>
      </c>
      <c r="E21" s="72" t="inlineStr">
        <is>
          <t xml:space="preserve">No </t>
        </is>
      </c>
      <c r="F21" s="48" t="n"/>
      <c r="G21" s="73" t="n">
        <v>25</v>
      </c>
      <c r="H21" s="73">
        <f>F21*G21</f>
        <v/>
      </c>
      <c r="I21" s="10" t="inlineStr">
        <is>
          <t>استبدال القطع الخشبية التالفة (ضمن الدرفة الخشبية أو الملبن ) ,واستبدال المفصلات والمسكات  التالفين  حسب توجيهات المهندس المشرف</t>
        </is>
      </c>
      <c r="J21" s="35" t="inlineStr">
        <is>
          <t>إعادة وظيفة النافذة كاملة</t>
        </is>
      </c>
    </row>
    <row r="22" ht="65.25" customHeight="1" thickBot="1" thickTop="1">
      <c r="A22" s="3" t="n"/>
      <c r="B22" s="17" t="n">
        <v>16</v>
      </c>
      <c r="C22" s="296" t="inlineStr">
        <is>
          <t>أعمال الألمنيوم</t>
        </is>
      </c>
      <c r="D22" s="70" t="inlineStr">
        <is>
          <t xml:space="preserve"> أبواب ألمنيوم</t>
        </is>
      </c>
      <c r="E22" s="70" t="inlineStr">
        <is>
          <t xml:space="preserve">No </t>
        </is>
      </c>
      <c r="F22" s="50" t="n"/>
      <c r="G22" s="71" t="n">
        <v>155</v>
      </c>
      <c r="H22" s="71">
        <f>F22*G22</f>
        <v/>
      </c>
      <c r="I22" s="18" t="inlineStr">
        <is>
          <t>تقديم وتركيب باب ألمنيوم مطلي بالأنودة مع حشوة فايبر صناعة محلية سماكة الفيبر 2 مم , مع كامل الاكسسوارات من قفل وغال ودقر ومسكات نخب أول.
يجب ملئ كامل الفراغات بين الإطار والحواف بواسطة السليكون.مع تركيب ملبن رخام في حال عدم وجوده
يجب أن يتم معايرة الباب بشكل جيد وأن يغلق بشكل كامل مع كل المواد اللازمة .</t>
        </is>
      </c>
      <c r="J22" s="18" t="inlineStr">
        <is>
          <t>الحفاظ على خصوصية الحمامات و المطبخ ولأن الألمنيوم مقاوم للماء و الرطوبة</t>
        </is>
      </c>
    </row>
    <row r="23" ht="106.2" customHeight="1" thickBot="1">
      <c r="A23" s="3" t="n"/>
      <c r="B23" s="8" t="n">
        <v>17</v>
      </c>
      <c r="C23" s="293" t="n"/>
      <c r="D23" s="59" t="inlineStr">
        <is>
          <t xml:space="preserve"> نوافذ ألمنيوم</t>
        </is>
      </c>
      <c r="E23" s="59" t="inlineStr">
        <is>
          <t xml:space="preserve">No </t>
        </is>
      </c>
      <c r="F23" s="45" t="n"/>
      <c r="G23" s="60" t="n">
        <v>155</v>
      </c>
      <c r="H23" s="60">
        <f>F23*G23</f>
        <v/>
      </c>
      <c r="I23" s="9" t="inlineStr">
        <is>
          <t>تقديم وتركيب نافذة ألمنيوم مطلي بالأنودة سحاب صناعة محلية , مع سكة عريضة
الزجاج مناسب بسماكة لا تقل عن 6 ملم ويجب تثبيته بواسطة الجوانات والسيليكون.
مع كافة الاكسسوارات من قفل  ومسكات و الحركات، الجوانات،دواليب، الفراشي وكل ما يلزم.
يجب أن يزود الشباك بمنخل سحاب مع إطار الألمنيوم.و تركيب نوافذ الحمامات و دورات المياه (طاقات) ذرفة متحركة او ثابتة حسب رأي المهندس المشرف 
يجب ملئ كامل الفراغات بين الإطار والحواف بواسطة السليكون.
مع تركيب ملبن رخام في حال عدم وجوده
يجب أن يتم معايرة الشباك بشكل جيد وأن يغلق بشكل كامل مع كل المواد اللازمة .</t>
        </is>
      </c>
      <c r="J23" s="9" t="inlineStr">
        <is>
          <t>تحقيق الحماية الصحية و الخصوصية للمنزل</t>
        </is>
      </c>
    </row>
    <row r="24" ht="40.2" customHeight="1" thickBot="1">
      <c r="A24" s="3" t="n"/>
      <c r="B24" s="13" t="n">
        <v>18</v>
      </c>
      <c r="C24" s="294" t="n"/>
      <c r="D24" s="63" t="inlineStr">
        <is>
          <t xml:space="preserve"> صيانة </t>
        </is>
      </c>
      <c r="E24" s="63" t="inlineStr">
        <is>
          <t xml:space="preserve">No </t>
        </is>
      </c>
      <c r="F24" s="48" t="n"/>
      <c r="G24" s="65" t="n">
        <v>25</v>
      </c>
      <c r="H24" s="65">
        <f>F24*G24</f>
        <v/>
      </c>
      <c r="I24" s="4" t="inlineStr">
        <is>
          <t>استبدال القطع التالفة ( درفة أو ملبن)
استبدال الفيبر اللازم بالسماكة و اللون حسب الموجود مع الجوانات
استبدال الاكسسوارات التالفة (مسكة , مفصلات ......)</t>
        </is>
      </c>
      <c r="J24" s="4" t="inlineStr">
        <is>
          <t>إعادة وظيفة العنصر كاملة</t>
        </is>
      </c>
      <c r="K24" s="6" t="n"/>
    </row>
    <row r="25" ht="35.25" customHeight="1" thickBot="1" thickTop="1">
      <c r="A25" s="3" t="n"/>
      <c r="B25" s="20" t="n">
        <v>19</v>
      </c>
      <c r="C25" s="297" t="inlineStr">
        <is>
          <t>أعمال الحديد</t>
        </is>
      </c>
      <c r="D25" s="74" t="inlineStr">
        <is>
          <t>باب معدني حديد</t>
        </is>
      </c>
      <c r="E25" s="74" t="inlineStr">
        <is>
          <t>kg</t>
        </is>
      </c>
      <c r="F25" s="50" t="n"/>
      <c r="G25" s="75" t="n">
        <v>4</v>
      </c>
      <c r="H25" s="75">
        <f>F25*G25</f>
        <v/>
      </c>
      <c r="I25" s="21" t="inlineStr">
        <is>
          <t>تصنيع وتركيب أبواب معدنية مفردة أو مزدوجة في موضعها بإطار مناسب ، وصفائح معدنية بسمك2 مم ،  وكافة الإكسوارات اللازمة مع الدهان .</t>
        </is>
      </c>
      <c r="J25" s="21" t="inlineStr">
        <is>
          <t>حماية مدخل المنزل الخارجي و النوافذ في المنازل الأرضية من السرقة</t>
        </is>
      </c>
      <c r="K25" s="6" t="n"/>
    </row>
    <row r="26" ht="35.25" customHeight="1" thickBot="1">
      <c r="A26" s="3" t="n"/>
      <c r="B26" s="36" t="n">
        <v>20</v>
      </c>
      <c r="C26" s="294" t="n"/>
      <c r="D26" s="76" t="inlineStr">
        <is>
          <t>صيانة حديد</t>
        </is>
      </c>
      <c r="E26" s="77" t="inlineStr">
        <is>
          <t>kg</t>
        </is>
      </c>
      <c r="F26" s="51" t="n"/>
      <c r="G26" s="76" t="n">
        <v>5</v>
      </c>
      <c r="H26" s="76">
        <f>F26*G26</f>
        <v/>
      </c>
      <c r="I26" s="37" t="inlineStr">
        <is>
          <t>استبدال القطع التالفة ( درفة أو ملبن)
استبدال الزجاج اللازم بالسماكة و اللون حسب الموجود مع الجوانات
استبدال الاكسسوارات التالفة (مسكة , مفصلات ......)</t>
        </is>
      </c>
      <c r="J26" s="56" t="inlineStr">
        <is>
          <t>إعادة وظيفة العنصر كاملة</t>
        </is>
      </c>
      <c r="K26" s="6" t="n"/>
    </row>
    <row r="27" ht="57" customHeight="1" thickBot="1" thickTop="1">
      <c r="A27" s="3" t="n"/>
      <c r="B27" s="15" t="n">
        <v>21</v>
      </c>
      <c r="C27" s="87" t="inlineStr">
        <is>
          <t xml:space="preserve">العزل </t>
        </is>
      </c>
      <c r="D27" s="68" t="inlineStr">
        <is>
          <t>عزل جزئي</t>
        </is>
      </c>
      <c r="E27" s="68" t="inlineStr">
        <is>
          <t xml:space="preserve">No </t>
        </is>
      </c>
      <c r="F27" s="52" t="n"/>
      <c r="G27" s="69" t="n">
        <v>30</v>
      </c>
      <c r="H27" s="69">
        <f>F27*G27</f>
        <v/>
      </c>
      <c r="I27" s="16" t="inlineStr">
        <is>
          <t xml:space="preserve"> ملئ الفجوات والفراغات والثقوب الموجودة في السطح بمونة اسمنتية مناسبة حسب ما يراه جهاز الإشراف .
-	طلاء السطح وجهين من العزل ذو الأساس الإسمنتي حسب توجيهات المهندس المشرف </t>
        </is>
      </c>
      <c r="J27" s="16" t="inlineStr">
        <is>
          <t>لحماية بيتون بلاطة السقف من التشققات وانهيار طبقات الطينة الاسمنتية الثلاث علة رؤوس السكان</t>
        </is>
      </c>
      <c r="K27" s="6" t="n"/>
    </row>
    <row r="28" ht="57" customHeight="1" thickBot="1" thickTop="1">
      <c r="A28" s="3" t="n"/>
      <c r="B28" s="38" t="n">
        <v>22</v>
      </c>
      <c r="C28" s="295" t="inlineStr">
        <is>
          <t xml:space="preserve">أعمال الصحية  </t>
        </is>
      </c>
      <c r="D28" s="78" t="inlineStr">
        <is>
          <t>مجلى رخام</t>
        </is>
      </c>
      <c r="E28" s="79" t="inlineStr">
        <is>
          <t xml:space="preserve">MR </t>
        </is>
      </c>
      <c r="F28" s="50" t="n"/>
      <c r="G28" s="80" t="n">
        <v>90</v>
      </c>
      <c r="H28" s="80">
        <f>F28*G28</f>
        <v/>
      </c>
      <c r="I28" s="39" t="inlineStr">
        <is>
          <t>تقديم وتركيب حوض مجلى ستانلس ستيل بقياس مناسب ,مع التصاق جيد بالرخام .لزوايا اتقديم وتركيب رخام من نوع جيد بعرض 60 سم مع  رخام واقف وحبسة ماء من الرخام ,مع الخلاط و أنبوب صرف مرن أنش ونصف ) مثبت في مكان التركيب وموصول مع الشبكة مع كل مايلزم من اعمال، سيليكون  مضاد للبكتيريا لملئ الفراغات، مواد واكسسوارات.</t>
        </is>
      </c>
      <c r="J28" s="39" t="inlineStr">
        <is>
          <t>اصلاح المجلى المكسور و استبدال مجلى الرخام ب مجلى استانلس صحي كون مجلى الرخام مرتع للحشرات و البكتريا</t>
        </is>
      </c>
      <c r="K28" s="6" t="n"/>
    </row>
    <row r="29" ht="27" customHeight="1" thickBot="1">
      <c r="A29" s="3" t="n"/>
      <c r="B29" s="12" t="n">
        <v>23</v>
      </c>
      <c r="C29" s="293" t="n"/>
      <c r="D29" s="59" t="inlineStr">
        <is>
          <t>مغسلة</t>
        </is>
      </c>
      <c r="E29" s="59" t="inlineStr">
        <is>
          <t xml:space="preserve">No </t>
        </is>
      </c>
      <c r="F29" s="45" t="n"/>
      <c r="G29" s="60" t="n">
        <v>80</v>
      </c>
      <c r="H29" s="60">
        <f>F29*G29</f>
        <v/>
      </c>
      <c r="I29" s="9" t="inlineStr">
        <is>
          <t xml:space="preserve">تقديم وتركيب مغسلة بورسلان 50*60سم  لماع بدون تموجات مع الخلاط والمراة والرف  والعمود مع هراب اركوديون بلاستيكي مع جوان حشر مع التوصيل لخط الصرف الصحي مع كل مايلزم  </t>
        </is>
      </c>
      <c r="J29" s="9" t="inlineStr">
        <is>
          <t>لضرورة اسخدام المغسلة</t>
        </is>
      </c>
    </row>
    <row r="30" ht="40.2" customHeight="1" thickBot="1">
      <c r="A30" s="3" t="n"/>
      <c r="B30" s="40" t="n">
        <v>24</v>
      </c>
      <c r="C30" s="293" t="n"/>
      <c r="D30" s="81" t="inlineStr">
        <is>
          <t>مرحاض عربي</t>
        </is>
      </c>
      <c r="E30" s="81" t="inlineStr">
        <is>
          <t xml:space="preserve">No </t>
        </is>
      </c>
      <c r="F30" s="45" t="n"/>
      <c r="G30" s="82" t="n">
        <v>50</v>
      </c>
      <c r="H30" s="82">
        <f>F30*G30</f>
        <v/>
      </c>
      <c r="I30" s="41" t="inlineStr">
        <is>
          <t>تقديم وتركيب بطة تواليت من البورسلين, صناعة محلية,  مع ملئ أسفل و محيط البطة بمونة اسمنتية وتعبئة كافة الفراغات التي تظهر بالمونة الإسمنتية.
* مع كافة الأعمال المطلوبة من حفر, تعبئة فراغات, خليط اسمنتي, مواد وإكسسوارات.</t>
        </is>
      </c>
      <c r="J30" s="41" t="inlineStr">
        <is>
          <t>لضرورة استخدام المرحاض العربي</t>
        </is>
      </c>
    </row>
    <row r="31" ht="105.75" customHeight="1" thickBot="1">
      <c r="A31" s="3" t="n"/>
      <c r="B31" s="8" t="n">
        <v>25</v>
      </c>
      <c r="C31" s="293" t="n"/>
      <c r="D31" s="59" t="inlineStr">
        <is>
          <t>مرحاض فرنجي</t>
        </is>
      </c>
      <c r="E31" s="59" t="inlineStr">
        <is>
          <t xml:space="preserve">No </t>
        </is>
      </c>
      <c r="F31" s="45" t="n"/>
      <c r="G31" s="60" t="n">
        <v>120</v>
      </c>
      <c r="H31" s="60">
        <f>F31*G31</f>
        <v/>
      </c>
      <c r="I31" s="9" t="inlineStr">
        <is>
          <t xml:space="preserve">تقديم وتركيب مرحاض غربي (كرسي تواليت), بورسلين, صناعة محلية, مع كافة إجراءات التثبيت اللازمة التي يجب ان تتم مثل حفر الأرضيات القديمة, وإزالة الأنقاض بطريقة مناسبة , مع ملئ أية فراغات متبقية بعد التركيب بالمونة الإسمنتية ,كرسي التواليت يجب أن يتضمن كافة الإكسسوارات اللازمة مثل: فواشة مياه . حنفية تزويد المياه (مدمجة) لخزان التواليت ولخرطوم التواليت( نصف انش), مصنوع من النحاس ومطلي بمادة الكروم) مع أنبوب الوصل المرن من اجل خزان الكرسي , أيضا مع خرطوم تواليت (خرطوم   , إكسسورات التثبيت  الجدارية )غطاء بلاستيك للكرسي.
*متصل بالشبكة مع كل ما يلزم من أعمال, حفر، ردم، مونة اسمنتية مواد وإكسسورات التركيب </t>
        </is>
      </c>
      <c r="J31" s="35" t="inlineStr">
        <is>
          <t>لضرورة استخدام المرحاض الفرنجي بالأخص بالمنازل التي تأوي عجزة أو كبار بالسن</t>
        </is>
      </c>
    </row>
    <row r="32" ht="53.4" customHeight="1" thickBot="1">
      <c r="A32" s="3" t="n"/>
      <c r="B32" s="40" t="n">
        <v>26</v>
      </c>
      <c r="C32" s="293" t="n"/>
      <c r="D32" s="81" t="inlineStr">
        <is>
          <t>سواد مالحة</t>
        </is>
      </c>
      <c r="E32" s="83" t="inlineStr">
        <is>
          <t xml:space="preserve">MR </t>
        </is>
      </c>
      <c r="F32" s="45" t="n"/>
      <c r="G32" s="82" t="n">
        <v>15</v>
      </c>
      <c r="H32" s="82">
        <f>F32*G32</f>
        <v/>
      </c>
      <c r="I32" s="41" t="inlineStr">
        <is>
          <t>تقديم و تركيب أنابيب من البلاستيك PVC بأقطار مختلفة  مناسبة, محلي الصنع, 
مع كافة الاكسسوارات المطلوبة مثل : اكسسوارات الوصل , أكواع , كوانة , T, و النقاصات ....).
يجب تثبيت الانابيب الظاهرة بواسطة حبسات معدنية 
*مع كافة الأعمال المطلوبة من حفر و أعمال بيتونية و تسوية, و كافة المواد و الاكسسوارات.</t>
        </is>
      </c>
      <c r="J32" s="41" t="inlineStr">
        <is>
          <t>معالجة و اصلاح أو استبدال قساطل الصرف الصحي القديمة و المتهالكة لتأثيرها السلبي على البيئة الصحة العامة و لإضرارها بالعناصر الإنشائية</t>
        </is>
      </c>
    </row>
    <row r="33" ht="53.4" customHeight="1" thickBot="1">
      <c r="A33" s="3" t="n"/>
      <c r="B33" s="8" t="n">
        <v>27</v>
      </c>
      <c r="C33" s="293" t="n"/>
      <c r="D33" s="59" t="inlineStr">
        <is>
          <t>سواد حلوة</t>
        </is>
      </c>
      <c r="E33" s="84" t="inlineStr">
        <is>
          <t xml:space="preserve">MR </t>
        </is>
      </c>
      <c r="F33" s="45" t="n"/>
      <c r="G33" s="60" t="n">
        <v>23</v>
      </c>
      <c r="H33" s="60">
        <f>F33*G33</f>
        <v/>
      </c>
      <c r="I33" s="9" t="inlineStr">
        <is>
          <t>تقديم وتركيب أنابيب بولي اتيلين PPR  بأقطار مختلفة  مناسبة, سماكة جدران 4.2 مم, محلي الصنع, مع كافة الإكسسوارات اللازمة ( تيه, نقاصات وصلات ...).
يجب تثبيت الانابيب الظاهرة بواسطة حبسات معدنية 
* مع كافة الأعمال المطلوبة, المونة الإسمنتية, مواد وإكسسوارات).</t>
        </is>
      </c>
      <c r="J33" s="9" t="inlineStr">
        <is>
          <t>اصلاح أو استبدال الأنابيب القديمة و المتهالكة و الصدئة لضررها على صحة السكان بسبب الرطوبة و لاضرارها بالعناصر الإنشائية للبناء</t>
        </is>
      </c>
    </row>
    <row r="34" ht="53.4" customHeight="1" thickBot="1">
      <c r="A34" s="3" t="n"/>
      <c r="B34" s="40" t="n">
        <v>28</v>
      </c>
      <c r="C34" s="293" t="n"/>
      <c r="D34" s="81" t="inlineStr">
        <is>
          <t xml:space="preserve">بياض صحية </t>
        </is>
      </c>
      <c r="E34" s="81" t="inlineStr">
        <is>
          <t xml:space="preserve">No </t>
        </is>
      </c>
      <c r="F34" s="45" t="n"/>
      <c r="G34" s="82" t="n">
        <v>15</v>
      </c>
      <c r="H34" s="82">
        <f>F34*G34</f>
        <v/>
      </c>
      <c r="I34" s="41" t="inlineStr">
        <is>
          <t>تقديم وتركيب بياض صحية (خلاطات , حنفيات , غطاء مصرف ستانلس ستيل , انبوب صرف مرن مع صباب ,وسكر , خرطوم مرحاض) مع أنابيب الوصل المرنة , مع كل مايلزم من إكسسورات حديدية  مثل: تيهات, اكواع, نقاصات, تحويلات, سدات وأية إكسسوارات لازمة لوصل الخلاط بالشبكة وتثبيته في المكان) مع كل ما يلزم من أعمال .</t>
        </is>
      </c>
      <c r="J34" s="41" t="inlineStr">
        <is>
          <t>استبدال البياضات القديمة و المتهالكة للحد من هدر المياه</t>
        </is>
      </c>
    </row>
    <row r="35" ht="40.2" customHeight="1" thickBot="1">
      <c r="A35" s="3" t="n"/>
      <c r="B35" s="8" t="n">
        <v>29</v>
      </c>
      <c r="C35" s="293" t="n"/>
      <c r="D35" s="59" t="inlineStr">
        <is>
          <t>مضخة مياه</t>
        </is>
      </c>
      <c r="E35" s="59" t="inlineStr">
        <is>
          <t xml:space="preserve">No </t>
        </is>
      </c>
      <c r="F35" s="45" t="n"/>
      <c r="G35" s="60" t="n">
        <v>150</v>
      </c>
      <c r="H35" s="60">
        <f>F35*G35</f>
        <v/>
      </c>
      <c r="I35" s="9" t="inlineStr">
        <is>
          <t>توريد وتركيب مضخة مياه باردة بالطرد المركزي لرفع المياه من الإمداد الرئيسي إلى خزان  المياه 0.75  حصان ، ملف نحاس ,بما في ذلك صمامات البوابة ، وصمامات الفحص ، والمصفاة ، وجميع التركيبات الكهربائية ، والنقاط ، والكابلات ، ولوحة التحكم , وصندوق حماية حديدي .</t>
        </is>
      </c>
      <c r="J35" s="9" t="inlineStr">
        <is>
          <t>لحاجة مضخة المياه في حال كانت المياه لا تصعد إلى الخزانات و ذلك من أجل توفير المياه اللازمة للاستهلاك اليومي للسكان</t>
        </is>
      </c>
    </row>
    <row r="36" ht="79.8" customHeight="1" thickBot="1">
      <c r="A36" s="3" t="n"/>
      <c r="B36" s="36" t="n">
        <v>30</v>
      </c>
      <c r="C36" s="294" t="n"/>
      <c r="D36" s="85" t="inlineStr">
        <is>
          <t>خزان ماء</t>
        </is>
      </c>
      <c r="E36" s="85" t="inlineStr">
        <is>
          <t xml:space="preserve">No </t>
        </is>
      </c>
      <c r="F36" s="48" t="n"/>
      <c r="G36" s="86" t="n">
        <v>140</v>
      </c>
      <c r="H36" s="86">
        <f>F36*G36</f>
        <v/>
      </c>
      <c r="I36" s="37" t="inlineStr">
        <is>
          <t>تقديم و تركيب خزان مياه من البلاستيك PVC من 3 طبقات سعة 1000 ليتر , محلي الصنع, 
ايجب أن يكون شكل الخزان مناسب للوضع على السطح) مع كافة الاكسسوارات اللازمة,  مثل الفواشة و اكسسوارات التوصيل.وسكر عدد 2 
-يجب توصيل الخزان الى شبكة المياه مع كافة أنابيب الPPR مع كافة الأعمال و المواد و الاكسسوارات المطلوبة مع وضعه على طبقة اسمنتية صقيلة بسماكة لا تقل عن 5 سم وفي مكان آمن حسب توجيهات المهندس المشرف .</t>
        </is>
      </c>
      <c r="J36" s="37" t="inlineStr">
        <is>
          <t>استبدال الخزانات المعدنية المهترئة بالصدأ كون الصدأ مكان لتجمع البكتريا و الجراثيم</t>
        </is>
      </c>
    </row>
    <row r="37" ht="65.25" customHeight="1" thickBot="1" thickTop="1">
      <c r="A37" s="3" t="n"/>
      <c r="B37" s="33" t="n">
        <v>31</v>
      </c>
      <c r="C37" s="296" t="inlineStr">
        <is>
          <t>أعمال الكهرباء</t>
        </is>
      </c>
      <c r="D37" s="74" t="inlineStr">
        <is>
          <t>سواد كهرباء</t>
        </is>
      </c>
      <c r="E37" s="74" t="inlineStr">
        <is>
          <t>point</t>
        </is>
      </c>
      <c r="F37" s="47" t="n"/>
      <c r="G37" s="75" t="n">
        <v>12</v>
      </c>
      <c r="H37" s="75">
        <f>F37*G37</f>
        <v/>
      </c>
      <c r="I37" s="21" t="inlineStr">
        <is>
          <t>تقديم وتركيب نقطة كهربائية تتضمن ( تيب قياسات مناسبة ,علب ماجيك ,أسلاك بمختلف الأقطار ) مع كافة أعمال الحفر  والتثبيت .
- يجب ان يركب التيب  داخل الجدران اوالأسقف أو الأرضيات بشكل مخفي حيث يتم تغطيته بالاسمنت بشكل كامل مع وضع شبك معدني لمنع التشقق . مع كل مايلزم من اعمال، مواد واكسسوارات.</t>
        </is>
      </c>
      <c r="J37" s="21" t="inlineStr">
        <is>
          <t>استبدال الشبكات و الأسلاك الداخلية المتهالكة لحماية المنازل من الحرائق بسبب الماس الكهربائي</t>
        </is>
      </c>
    </row>
    <row r="38" ht="53.4" customHeight="1" thickBot="1">
      <c r="A38" s="3" t="n"/>
      <c r="B38" s="42" t="n">
        <v>32</v>
      </c>
      <c r="C38" s="293" t="n"/>
      <c r="D38" s="81" t="inlineStr">
        <is>
          <t xml:space="preserve">كبل تغذيةكهربائي </t>
        </is>
      </c>
      <c r="E38" s="83" t="inlineStr">
        <is>
          <t xml:space="preserve">MR </t>
        </is>
      </c>
      <c r="F38" s="45" t="n"/>
      <c r="G38" s="82" t="n">
        <v>6</v>
      </c>
      <c r="H38" s="82">
        <f>F38*G38</f>
        <v/>
      </c>
      <c r="I38" s="41" t="inlineStr">
        <is>
          <t>تقديم وتركيب كبل كهرباء، الناقل مصنوع من النحاس المجدول مع عزل مضاعف من ال بي في سي، مساحة المقطع 2* 6مم2، 
- بداخل التيب الموجودة او السكك البلاستيكية المناسبة .
-التركيب يكون فقط من عداد الكهرباء الى لوحة التوزيع داخل الشقة.</t>
        </is>
      </c>
      <c r="J38" s="41" t="inlineStr">
        <is>
          <t>إيصال الكهرباء من الشبكة إلى المنزل</t>
        </is>
      </c>
    </row>
    <row r="39" ht="35.1" customHeight="1" thickBot="1">
      <c r="A39" s="3" t="n"/>
      <c r="B39" s="34" t="n">
        <v>33</v>
      </c>
      <c r="C39" s="293" t="n"/>
      <c r="D39" s="59" t="inlineStr">
        <is>
          <t xml:space="preserve">لوحة قواطع </t>
        </is>
      </c>
      <c r="E39" s="59" t="inlineStr">
        <is>
          <t>JOP</t>
        </is>
      </c>
      <c r="F39" s="45" t="n"/>
      <c r="G39" s="60" t="n">
        <v>75</v>
      </c>
      <c r="H39" s="60">
        <f>F39*G39</f>
        <v/>
      </c>
      <c r="I39" s="9" t="inlineStr">
        <is>
          <t>تقديم وتركيب (لوحة توزيع، تتسع ل 5 قواطع كهربائية , قاطع كهربائي ثنائي أو أحادي قياسات مناسبة ) مع كل الاعمال والمواد اللازمة.</t>
        </is>
      </c>
      <c r="J39" s="9" t="inlineStr">
        <is>
          <t>لحماية المنزل من الحرائق و الأضرار التي يمكن أن يتسبب بها الماس الكهربائي</t>
        </is>
      </c>
    </row>
    <row r="40" ht="93" customHeight="1" thickBot="1">
      <c r="A40" s="3" t="n"/>
      <c r="B40" s="43" t="n">
        <v>34</v>
      </c>
      <c r="C40" s="293" t="n"/>
      <c r="D40" s="81" t="inlineStr">
        <is>
          <t>بياض كهرباء</t>
        </is>
      </c>
      <c r="E40" s="81" t="inlineStr">
        <is>
          <t>point</t>
        </is>
      </c>
      <c r="F40" s="45" t="n"/>
      <c r="G40" s="82" t="n">
        <v>15</v>
      </c>
      <c r="H40" s="82">
        <f>F40*G40</f>
        <v/>
      </c>
      <c r="I40" s="41" t="inlineStr">
        <is>
          <t>تقديم وتركيب وتمديد- نقطة ضوئية كاملة ( انيون ليد 120 سم (24 واط), 220V )مع شريط مفرد 1.5ملم ومفتاح كهربائي مع الشاسيه والغطاء مع كل ما يلزم حتى إتمام التشغيل .
-مأخذ كهرباء (بريز)، 2P, 16A, 250V مع قفل امان،.مع الشاسية والغطاء(البلاك)
- غطاء بلاستيكي للعلب الكهربائية الموجودة, أبعادها (20*15) 
- سكك بلاستيكية مع غطاء قياس 2.5*2.5 سم مع التركيب باستخدام البراغي (لاتزيد مسافة التثبيت عن 50 سم) على الجدران والاسقف.
- مع كل مايلزم من اعمال ومواد.</t>
        </is>
      </c>
      <c r="J40" s="41" t="inlineStr">
        <is>
          <t>لتتمة أعمال سواد الكهرباء السابقة وانارة المنزل</t>
        </is>
      </c>
    </row>
    <row r="41" ht="66.59999999999999" customHeight="1" thickBot="1">
      <c r="A41" s="3" t="n"/>
      <c r="B41" s="33" t="n">
        <v>35</v>
      </c>
      <c r="C41" s="293" t="n"/>
      <c r="D41" s="59" t="inlineStr">
        <is>
          <t>سخان كهربائي</t>
        </is>
      </c>
      <c r="E41" s="59" t="inlineStr">
        <is>
          <t xml:space="preserve">No </t>
        </is>
      </c>
      <c r="F41" s="45" t="n"/>
      <c r="G41" s="60" t="n">
        <v>150</v>
      </c>
      <c r="H41" s="60">
        <f>F41*G41</f>
        <v/>
      </c>
      <c r="I41" s="9" t="inlineStr">
        <is>
          <t>تقديم وتركيب سخان مياه كهربائي  100 ليتر معزول بطبقة من البولي يوريثان او الصوف الصخري , مزود  بقضيب التسخين والتيرموستات القابل للتعديل لاتقل استطاعتها عن 1500 واط, وايضا مزود بمقياس لحرارة المياه ومصباح اشارة , و قاطع كهربائي خارجي 20 امبير, الخزان الإسطواني يجب أن يكون صنع محلي, مع سكر عدم رجوع/صمام/ يركب على مدخل المياه الباردة
*مع كل مايلزم من سكر حماية واكسسوارات حديد (نقاصات، محولات، اكواع، تيهات، سدات...</t>
        </is>
      </c>
      <c r="J41" s="9" t="inlineStr">
        <is>
          <t>لتأمين المياه الساخنة الضرورية للنظافة الشخصية</t>
        </is>
      </c>
    </row>
    <row r="42" ht="35.25" customHeight="1" thickBot="1">
      <c r="A42" s="3" t="n"/>
      <c r="B42" s="44" t="n">
        <v>36</v>
      </c>
      <c r="C42" s="294" t="n"/>
      <c r="D42" s="85" t="inlineStr">
        <is>
          <t>شفاط كهربائي</t>
        </is>
      </c>
      <c r="E42" s="85" t="inlineStr">
        <is>
          <t xml:space="preserve">No </t>
        </is>
      </c>
      <c r="F42" s="45" t="n"/>
      <c r="G42" s="86" t="n">
        <v>20</v>
      </c>
      <c r="H42" s="86">
        <f>F42*G42</f>
        <v/>
      </c>
      <c r="I42" s="37" t="inlineStr">
        <is>
          <t>تزويد وتركيب مروحة طرد 6" مع الاسلاك والقاطع و الكبسة وكل مايلزم  ووصله للخارج  .</t>
        </is>
      </c>
      <c r="J42" s="37" t="inlineStr">
        <is>
          <t>لطرد الروائح الكريهة من المطبخ و الحمام</t>
        </is>
      </c>
    </row>
    <row r="43" ht="40.8" customHeight="1" thickBot="1" thickTop="1">
      <c r="B43" s="33" t="n">
        <v>37</v>
      </c>
      <c r="C43" s="89" t="inlineStr">
        <is>
          <t>أعمال الدهان</t>
        </is>
      </c>
      <c r="D43" s="68" t="inlineStr">
        <is>
          <t xml:space="preserve">دهان </t>
        </is>
      </c>
      <c r="E43" s="68" t="inlineStr">
        <is>
          <t>room</t>
        </is>
      </c>
      <c r="F43" s="52" t="n"/>
      <c r="G43" s="69" t="n">
        <v>130</v>
      </c>
      <c r="H43" s="69">
        <f>F43*G43</f>
        <v/>
      </c>
      <c r="I43" s="35" t="inlineStr">
        <is>
          <t>دهان المناطق المتضررة بالحريق ويتضمن طلاء بثلاث طبقات ، مع الفرك  بما في ذلك شقوق الإصلاح والجبس  ، تنظيف الموقع عن طريق إزالة البقع الجديدة أو القديمة على الأرضيات والزجاج والتنانير والتركيبات الكهربائية والأبواب والنوافذ ، السقف أو الجدران.</t>
        </is>
      </c>
      <c r="J43" s="57" t="inlineStr">
        <is>
          <t xml:space="preserve">لإزالة آثار الحريق  بما فيها من تشققات واهتراء وروائح ودخان  </t>
        </is>
      </c>
    </row>
    <row r="44" ht="44.25" customHeight="1" thickBot="1" thickTop="1">
      <c r="B44" s="135" t="inlineStr">
        <is>
          <t>المجموع النهائي</t>
        </is>
      </c>
      <c r="C44" s="283" t="n"/>
      <c r="D44" s="298" t="n"/>
      <c r="E44" s="299">
        <f>SUM(H7:H43)</f>
        <v/>
      </c>
      <c r="F44" s="283" t="n"/>
      <c r="G44" s="283" t="n"/>
      <c r="H44" s="284" t="n"/>
      <c r="I44" s="300" t="inlineStr">
        <is>
          <t xml:space="preserve">ملاحظة :بالنسبة لجميع المواد يتم استخدام المواد الأساسية ذات الجودة القياسية المتاحة في السوق المحلية </t>
        </is>
      </c>
      <c r="J44" s="284" t="n"/>
    </row>
    <row r="45" ht="45" customHeight="1" thickBot="1" thickTop="1">
      <c r="B45" s="113" t="inlineStr">
        <is>
          <t>الدفعة الأولى</t>
        </is>
      </c>
      <c r="C45" s="283" t="n"/>
      <c r="D45" s="298" t="n"/>
      <c r="E45" s="301">
        <f>E44*0.6</f>
        <v/>
      </c>
      <c r="F45" s="283" t="n"/>
      <c r="G45" s="284" t="n"/>
      <c r="H45" s="58" t="inlineStr">
        <is>
          <t>الدفعة الثانية</t>
        </is>
      </c>
      <c r="I45" s="302">
        <f>E44*0.4</f>
        <v/>
      </c>
      <c r="J45" s="284" t="n"/>
    </row>
    <row r="46" ht="16.2" customHeight="1" thickTop="1"/>
  </sheetData>
  <mergeCells count="21">
    <mergeCell ref="C6:D6"/>
    <mergeCell ref="C37:C42"/>
    <mergeCell ref="C5:D5"/>
    <mergeCell ref="B3:F3"/>
    <mergeCell ref="I45:J45"/>
    <mergeCell ref="B44:D44"/>
    <mergeCell ref="E45:G45"/>
    <mergeCell ref="C25:C26"/>
    <mergeCell ref="G3:H3"/>
    <mergeCell ref="I3:J3"/>
    <mergeCell ref="B45:D45"/>
    <mergeCell ref="E44:H44"/>
    <mergeCell ref="C28:C36"/>
    <mergeCell ref="B4:J4"/>
    <mergeCell ref="B5:B6"/>
    <mergeCell ref="I44:J44"/>
    <mergeCell ref="C13:C16"/>
    <mergeCell ref="C7:C12"/>
    <mergeCell ref="C22:C24"/>
    <mergeCell ref="B2:J2"/>
    <mergeCell ref="C18:C21"/>
  </mergeCells>
  <printOptions horizontalCentered="1" verticalCentered="1"/>
  <pageMargins left="0" right="0" top="0" bottom="0" header="0" footer="0"/>
  <pageSetup orientation="portrait" paperSize="9" scale="48"/>
  <rowBreaks count="1" manualBreakCount="1">
    <brk id="24" min="0" max="9" man="1"/>
  </rowBreaks>
</worksheet>
</file>

<file path=xl/worksheets/sheet3.xml><?xml version="1.0" encoding="utf-8"?>
<worksheet xmlns="http://schemas.openxmlformats.org/spreadsheetml/2006/main">
  <sheetPr>
    <outlinePr summaryBelow="1" summaryRight="1"/>
    <pageSetUpPr/>
  </sheetPr>
  <dimension ref="A1:A1"/>
  <sheetViews>
    <sheetView rightToLeft="1" workbookViewId="0">
      <selection activeCell="G18" sqref="G18"/>
    </sheetView>
  </sheetViews>
  <sheetFormatPr baseColWidth="8" defaultRowHeight="13.8"/>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
  <sheetViews>
    <sheetView rightToLeft="1" workbookViewId="0">
      <selection activeCell="E21" sqref="E21"/>
    </sheetView>
  </sheetViews>
  <sheetFormatPr baseColWidth="8" defaultRowHeight="13.8"/>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rightToLeft="1" workbookViewId="0">
      <selection activeCell="H18" sqref="H18"/>
    </sheetView>
  </sheetViews>
  <sheetFormatPr baseColWidth="8" defaultRowHeight="13.8"/>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1"/>
  <sheetViews>
    <sheetView rightToLeft="1" workbookViewId="0">
      <selection activeCell="H19" sqref="H19"/>
    </sheetView>
  </sheetViews>
  <sheetFormatPr baseColWidth="8" defaultRowHeight="13.8"/>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2:E15"/>
  <sheetViews>
    <sheetView rightToLeft="1" zoomScaleNormal="100" workbookViewId="0">
      <selection activeCell="B5" sqref="B5"/>
    </sheetView>
  </sheetViews>
  <sheetFormatPr baseColWidth="8" defaultRowHeight="13.8"/>
  <cols>
    <col width="3.8984375" customWidth="1" min="1" max="1"/>
    <col width="28.296875" customWidth="1" min="2" max="2"/>
    <col width="11.296875" customWidth="1" min="3" max="3"/>
    <col width="35.69921875" customWidth="1" min="4" max="4"/>
    <col width="26.3984375" customWidth="1" min="5" max="5"/>
  </cols>
  <sheetData>
    <row r="1" ht="14.4" customHeight="1" thickBot="1"/>
    <row r="2" ht="33" customHeight="1" thickBot="1">
      <c r="B2" s="24" t="inlineStr">
        <is>
          <t>التقرير النهائي للاجىء</t>
        </is>
      </c>
      <c r="C2" s="25" t="n"/>
      <c r="D2" s="25" t="n"/>
      <c r="E2" s="26" t="n"/>
    </row>
    <row r="3" ht="18" customHeight="1" thickTop="1">
      <c r="A3" s="32" t="n"/>
      <c r="B3" s="303" t="inlineStr">
        <is>
          <t>الإسم</t>
        </is>
      </c>
      <c r="C3" s="30" t="inlineStr">
        <is>
          <t>الإنجاز</t>
        </is>
      </c>
      <c r="D3" s="30" t="n"/>
      <c r="E3" s="304" t="inlineStr">
        <is>
          <t>ملاحظات</t>
        </is>
      </c>
    </row>
    <row r="4" ht="18" customHeight="1" thickBot="1">
      <c r="A4" s="32" t="n"/>
      <c r="B4" s="305" t="n"/>
      <c r="C4" s="31" t="inlineStr">
        <is>
          <t>النسبة %</t>
        </is>
      </c>
      <c r="D4" s="31" t="inlineStr">
        <is>
          <t>التقرير</t>
        </is>
      </c>
      <c r="E4" s="306" t="n"/>
    </row>
    <row r="5" ht="45.75" customHeight="1" thickBot="1" thickTop="1">
      <c r="B5" s="27">
        <f>#REF!</f>
        <v/>
      </c>
      <c r="C5" s="28" t="n"/>
      <c r="D5" s="28" t="inlineStr">
        <is>
          <t>إضافة أعمال دهان وبعض أعمال السيراميك</t>
        </is>
      </c>
      <c r="E5" s="29" t="n"/>
    </row>
    <row r="6" ht="15" customHeight="1">
      <c r="B6" s="23" t="n"/>
      <c r="C6" s="23" t="n"/>
      <c r="D6" s="23" t="n"/>
      <c r="E6" s="23" t="n"/>
    </row>
    <row r="7" ht="15" customHeight="1">
      <c r="B7" s="23" t="n"/>
      <c r="C7" s="23" t="n"/>
      <c r="D7" s="23" t="n"/>
      <c r="E7" s="23" t="n"/>
    </row>
    <row r="8" ht="15" customHeight="1">
      <c r="B8" s="23" t="n"/>
      <c r="C8" s="23" t="n"/>
      <c r="D8" s="23" t="n"/>
      <c r="E8" s="23" t="n"/>
    </row>
    <row r="9" ht="15" customHeight="1">
      <c r="B9" s="23" t="n"/>
      <c r="C9" s="23" t="n"/>
      <c r="D9" s="23" t="n"/>
      <c r="E9" s="23" t="n"/>
    </row>
    <row r="10" ht="15" customHeight="1">
      <c r="B10" s="23" t="n"/>
      <c r="C10" s="23" t="n"/>
      <c r="D10" s="23" t="n"/>
      <c r="E10" s="23" t="n"/>
    </row>
    <row r="11" ht="15" customHeight="1">
      <c r="B11" s="23" t="n"/>
      <c r="C11" s="23" t="n"/>
      <c r="D11" s="23" t="n"/>
      <c r="E11" s="23" t="n"/>
    </row>
    <row r="12" ht="17.4" customHeight="1">
      <c r="B12" s="22" t="n"/>
      <c r="C12" s="22" t="n"/>
      <c r="D12" s="22" t="n"/>
      <c r="E12" s="22" t="n"/>
    </row>
    <row r="13" ht="17.4" customHeight="1">
      <c r="B13" s="22" t="n"/>
      <c r="C13" s="22" t="n"/>
      <c r="D13" s="22" t="n"/>
      <c r="E13" s="22" t="n"/>
    </row>
    <row r="14" ht="17.4" customHeight="1">
      <c r="B14" s="22" t="n"/>
      <c r="C14" s="22" t="n"/>
      <c r="D14" s="22" t="n"/>
      <c r="E14" s="22" t="n"/>
    </row>
    <row r="15" ht="17.4" customHeight="1">
      <c r="B15" s="22" t="n"/>
      <c r="C15" s="22" t="n"/>
      <c r="D15" s="22" t="n"/>
      <c r="E15" s="22" t="n"/>
    </row>
  </sheetData>
  <mergeCells count="2">
    <mergeCell ref="B3:B4"/>
    <mergeCell ref="E3:E4"/>
  </mergeCells>
  <printOptions horizontalCentered="1"/>
  <pageMargins left="0" right="0" top="1" bottom="0" header="0.5" footer="0"/>
  <pageSetup orientation="portrait" paperSize="9" scale="8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2025-02-03T09:26:33Z</dcterms:created>
  <dcterms:modified xsi:type="dcterms:W3CDTF">2026-08-17T11:24:08Z</dcterms:modified>
  <cp:lastModifiedBy>ODEH, Mohammad</cp:lastModifiedBy>
  <cp:lastPrinted>2026-07-07T07:06:27Z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0x010100B2E9EA7FEDBC2B47B1BB5C1A5E1D6611</vt:lpwstr>
  </property>
</Properties>
</file>